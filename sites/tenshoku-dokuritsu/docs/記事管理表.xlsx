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a3339b412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記事管理" sheetId="1" r:id="R087587c029f04107"/>
    <x:sheet xmlns:r="http://schemas.openxmlformats.org/officeDocument/2006/relationships" name="記事企画" sheetId="2" r:id="Rb6edd4dc20d14cbc"/>
    <x:sheet xmlns:r="http://schemas.openxmlformats.org/officeDocument/2006/relationships" name="カテゴリ" sheetId="3" r:id="R8f38adc0155844d7"/>
    <x:sheet xmlns:r="http://schemas.openxmlformats.org/officeDocument/2006/relationships" name="タグ" sheetId="4" r:id="R76b31969f69d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53246"/>
      <x:name val="Arial"/>
    </x:font>
    <x:font>
      <x:b/>
      <x:sz val="14"/>
      <x:color rgb="FF1C2D42"/>
      <x:name val="Arial"/>
    </x:font>
    <x:font>
      <x:sz val="10"/>
      <x:color rgb="FF52617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F5D"/>
      </x:patternFill>
    </x:fill>
    <x:fill>
      <x:patternFill patternType="solid">
        <x:fgColor rgb="FFF1F4F7"/>
      </x:patternFill>
    </x:fill>
    <x:fill>
      <x:patternFill patternType="solid">
        <x:fgColor rgb="FFFFF4C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7B1BF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color rgb="FF923E32"/>
      </x:font>
      <x:fill>
        <x:patternFill patternType="solid">
          <x:bgColor rgb="FFFCE1DC"/>
        </x:patternFill>
      </x:fill>
    </x:dxf>
    <x:dxf>
      <x:font>
        <x:b/>
        <x:color rgb="FF7E381A"/>
      </x:font>
      <x:fill>
        <x:patternFill patternType="solid">
          <x:bgColor rgb="FFFFE5D5"/>
        </x:patternFill>
      </x:fill>
    </x:dxf>
    <x:dxf>
      <x:font>
        <x:color rgb="FF365543"/>
      </x:font>
      <x:fill>
        <x:patternFill patternType="solid">
          <x:bgColor rgb="FFE6F0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330db727045f5" /><Relationship Type="http://schemas.openxmlformats.org/officeDocument/2006/relationships/theme" Target="/xl/theme/theme1.xml" Id="R25c3b7ccfe804a34" /><Relationship Type="http://schemas.openxmlformats.org/officeDocument/2006/relationships/sharedStrings" Target="/xl/sharedStrings.xml" Id="R284960e9d146400d" /><Relationship Type="http://schemas.openxmlformats.org/officeDocument/2006/relationships/worksheet" Target="/xl/worksheets/sheet1.xml" Id="R087587c029f04107" /><Relationship Type="http://schemas.openxmlformats.org/officeDocument/2006/relationships/worksheet" Target="/xl/worksheets/sheet2.xml" Id="Rb6edd4dc20d14cbc" /><Relationship Type="http://schemas.openxmlformats.org/officeDocument/2006/relationships/worksheet" Target="/xl/worksheets/sheet3.xml" Id="R8f38adc0155844d7" /><Relationship Type="http://schemas.openxmlformats.org/officeDocument/2006/relationships/worksheet" Target="/xl/worksheets/sheet4.xml" Id="R76b31969f69d4031" /></Relationships>
</file>

<file path=xl/tables/table1.xml><?xml version="1.0" encoding="utf-8"?>
<x:table xmlns:x="http://schemas.openxmlformats.org/spreadsheetml/2006/main" id="1" name="ArticlePlan" displayName="ArticlePlan" ref="A7:Q37" headerRowCount="1" totalsRowCount="0" totalsRowShown="0">
  <x:autoFilter ref="A7:Q37"/>
  <x:tableColumns count="17">
    <x:tableColumn id="1" name="執筆順"/>
    <x:tableColumn id="2" name="記事ID"/>
    <x:tableColumn id="3" name="記事タイトル"/>
    <x:tableColumn id="4" name="主カテゴリ"/>
    <x:tableColumn id="5" name="タグ（自動表示）"/>
    <x:tableColumn id="6" name="優先度"/>
    <x:tableColumn id="7" name="公開段階"/>
    <x:tableColumn id="8" name="ハブ"/>
    <x:tableColumn id="9" name="想定検索語（未実測）"/>
    <x:tableColumn id="10" name="読者の目的"/>
    <x:tableColumn id="11" name="読者の状況"/>
    <x:tableColumn id="12" name="状態"/>
    <x:tableColumn id="13" name="記事slug"/>
    <x:tableColumn id="14" name="タグ1"/>
    <x:tableColumn id="15" name="タグ2"/>
    <x:tableColumn id="16" name="タグ3"/>
    <x:tableColumn id="17" name="タグ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cleBriefs" displayName="ArticleBriefs" ref="A7:K37" headerRowCount="1" totalsRowCount="0" totalsRowShown="0">
  <x:autoFilter ref="A7:K37"/>
  <x:tableColumns count="11">
    <x:tableColumn id="1" name="記事ID"/>
    <x:tableColumn id="2" name="読者の問い"/>
    <x:tableColumn id="3" name="独自の論点"/>
    <x:tableColumn id="4" name="見出し案"/>
    <x:tableColumn id="5" name="扱う範囲の限界"/>
    <x:tableColumn id="6" name="次に読む"/>
    <x:tableColumn id="7" name="別ルート"/>
    <x:tableColumn id="8" name="送客候補（未提携）"/>
    <x:tableColumn id="9" name="公開前の確認"/>
    <x:tableColumn id="10" name="確認区分"/>
    <x:tableColumn id="11" name="編集メモ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Definitions" displayName="CategoryDefinitions" ref="A7:G12" headerRowCount="1" totalsRowCount="0" totalsRowShown="0">
  <x:autoFilter ref="A7:G12"/>
  <x:tableColumns count="7">
    <x:tableColumn id="1" name="カテゴリID"/>
    <x:tableColumn id="2" name="表示名"/>
    <x:tableColumn id="3" name="説明・主な内容"/>
    <x:tableColumn id="4" name="他カテゴリとの境界"/>
    <x:tableColumn id="5" name="ハブ記事"/>
    <x:tableColumn id="6" name="割当記事数"/>
    <x:tableColumn id="7" name="確認・更新方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gDefinitions" displayName="TagDefinitions" ref="A7:H30" headerRowCount="1" totalsRowCount="0" totalsRowShown="0">
  <x:autoFilter ref="A7:H30"/>
  <x:tableColumns count="8">
    <x:tableColumn id="1" name="タグID"/>
    <x:tableColumn id="2" name="表示名"/>
    <x:tableColumn id="3" name="グループ"/>
    <x:tableColumn id="4" name="付ける条件"/>
    <x:tableColumn id="5" name="別名（重複登録しない）"/>
    <x:tableColumn id="6" name="割当記事数"/>
    <x:tableColumn id="7" name="設計時の割当記事ID"/>
    <x:tableColumn id="8" name="読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d9972bfa3d43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64ef56911d45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315b5cc2dc4e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a7a40843c79451f" /></Relationships>
</file>

<file path=xl/worksheets/sheet1.xml><?xml version="1.0" encoding="utf-8"?>
<x:worksheet xmlns:x="http://schemas.openxmlformats.org/spreadsheetml/2006/main">
  <x:sheetPr>
    <x:tabColor rgb="FF233F5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.75" hidden="0" customWidth="1"/>
    <x:col min="2" max="2" width="9.5" hidden="0" customWidth="1"/>
    <x:col min="3" max="3" width="53.75" hidden="0" customWidth="1"/>
    <x:col min="4" max="4" width="21.8799991607666" hidden="0" customWidth="1"/>
    <x:col min="5" max="5" width="31.25" hidden="0" customWidth="1"/>
    <x:col min="6" max="6" width="8.5" hidden="0" customWidth="1"/>
    <x:col min="7" max="7" width="18.75" hidden="0" customWidth="1"/>
    <x:col min="8" max="8" width="7.5" hidden="0" customWidth="1"/>
    <x:col min="9" max="9" width="30" hidden="0" customWidth="1"/>
    <x:col min="10" max="10" width="14" hidden="0" customWidth="1"/>
    <x:col min="11" max="11" width="26.8799991607666" hidden="0" customWidth="1"/>
    <x:col min="12" max="12" width="17.5" hidden="0" customWidth="1"/>
    <x:col min="13" max="13" width="41.25" hidden="0" customWidth="1"/>
    <x:col min="14" max="14" width="21.8799991607666" hidden="0" customWidth="1"/>
    <x:col min="15" max="15" width="21.8799991607666" hidden="0" customWidth="1"/>
    <x:col min="16" max="16" width="21.8799991607666" hidden="0" customWidth="1"/>
    <x:col min="17" max="17" width="21.87999916076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独立か、転職か。 初期30記事の管理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A4" s="2" t="str">
        <x:v>企画本数</x:v>
      </x:c>
      <x:c r="B4" s="2" t="n">
        <x:f>COUNTA(B8:B37)</x:f>
        <x:v>30</x:v>
      </x:c>
      <x:c r="C4" s="2"/>
      <x:c r="D4" s="2" t="str">
        <x:v>高優先（本）</x:v>
      </x:c>
      <x:c r="E4" s="2"/>
      <x:c r="F4" s="2" t="n">
        <x:f>COUNTIFS(F8:F37,"高")</x:f>
        <x:v>15</x:v>
      </x:c>
      <x:c r="G4" s="2"/>
      <x:c r="H4" s="2"/>
      <x:c r="I4" s="2" t="str">
        <x:v>調査待ち（本）</x:v>
      </x:c>
      <x:c r="J4" s="2" t="n">
        <x:f>COUNTIFS(L8:L37,"調査待ち")</x:f>
        <x:v>1</x:v>
      </x:c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 t="str">
        <x:v>状態を更新して進捗管理。タグ変更は右端のタグ1〜4を編集。表示と件数は自動更新。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5" t="str">
        <x:v>元資料：独立か、転職か。 企画書 v2.2.md（§6・8・9・13）。設計日：2026-10-12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</x:row>
    <x:row r="7" ht="32" customHeight="1">
      <x:c r="A7" s="10" t="str">
        <x:v>執筆順</x:v>
      </x:c>
      <x:c r="B7" s="11" t="str">
        <x:v>記事ID</x:v>
      </x:c>
      <x:c r="C7" s="11" t="str">
        <x:v>記事タイトル</x:v>
      </x:c>
      <x:c r="D7" s="11" t="str">
        <x:v>主カテゴリ</x:v>
      </x:c>
      <x:c r="E7" s="11" t="str">
        <x:v>タグ（自動表示）</x:v>
      </x:c>
      <x:c r="F7" s="11" t="str">
        <x:v>優先度</x:v>
      </x:c>
      <x:c r="G7" s="11" t="str">
        <x:v>公開段階</x:v>
      </x:c>
      <x:c r="H7" s="11" t="str">
        <x:v>ハブ</x:v>
      </x:c>
      <x:c r="I7" s="11" t="str">
        <x:v>想定検索語（未実測）</x:v>
      </x:c>
      <x:c r="J7" s="11" t="str">
        <x:v>読者の目的</x:v>
      </x:c>
      <x:c r="K7" s="11" t="str">
        <x:v>読者の状況</x:v>
      </x:c>
      <x:c r="L7" s="11" t="str">
        <x:v>状態</x:v>
      </x:c>
      <x:c r="M7" s="11" t="str">
        <x:v>記事slug</x:v>
      </x:c>
      <x:c r="N7" s="11" t="str">
        <x:v>タグ1</x:v>
      </x:c>
      <x:c r="O7" s="11" t="str">
        <x:v>タグ2</x:v>
      </x:c>
      <x:c r="P7" s="11" t="str">
        <x:v>タグ3</x:v>
      </x:c>
      <x:c r="Q7" s="12" t="str">
        <x:v>タグ4</x:v>
      </x:c>
    </x:row>
    <x:row r="8" ht="48" customHeight="1">
      <x:c r="A8" s="15" t="n">
        <x:v>1</x:v>
      </x:c>
      <x:c r="B8" s="14" t="str">
        <x:v>TD-01</x:v>
      </x:c>
      <x:c r="C8" s="14" t="str">
        <x:v>50代の次の働き方：独立と転職を収入・安定・始め方で比べる</x:v>
      </x:c>
      <x:c r="D8" s="14" t="str">
        <x:v>独立と転職を比べる</x:v>
      </x:c>
      <x:c r="E8" s="14" t="str">
        <x:f>N8&amp;IF(O8="",""," / "&amp;O8)&amp;IF(P8="",""," / "&amp;P8)&amp;IF(Q8="",""," / "&amp;Q8)</x:f>
        <x:v>早期退職 / 役職定年 / 収入・年収</x:v>
      </x:c>
      <x:c r="F8" s="14" t="str">
        <x:v>高</x:v>
      </x:c>
      <x:c r="G8" s="14" t="str">
        <x:v>W1：0〜1か月</x:v>
      </x:c>
      <x:c r="H8" s="14" t="str">
        <x:v>ハブ</x:v>
      </x:c>
      <x:c r="I8" s="14" t="str">
        <x:v>50代 独立 転職 比較</x:v>
      </x:c>
      <x:c r="J8" s="14" t="str">
        <x:v>比べる</x:v>
      </x:c>
      <x:c r="K8" s="14" t="str">
        <x:v>S1・S2：比較検討</x:v>
      </x:c>
      <x:c r="L8" s="17" t="str">
        <x:v>未着手</x:v>
      </x:c>
      <x:c r="M8" s="14" t="str">
        <x:v>independence-or-career-change</x:v>
      </x:c>
      <x:c r="N8" s="14" t="str">
        <x:v>早期退職</x:v>
      </x:c>
      <x:c r="O8" s="14" t="str">
        <x:v>役職定年</x:v>
      </x:c>
      <x:c r="P8" s="14" t="str">
        <x:v>収入・年収</x:v>
      </x:c>
      <x:c r="Q8" s="14" t="str"/>
    </x:row>
    <x:row r="9" ht="48" customHeight="1">
      <x:c r="A9" s="16" t="n">
        <x:v>2</x:v>
      </x:c>
      <x:c r="B9" s="13" t="str">
        <x:v>TD-20</x:v>
      </x:c>
      <x:c r="C9" s="13" t="str">
        <x:v>次の働き方に移る前に済ませておくこと：ローン・カード・口座・確認リスト</x:v>
      </x:c>
      <x:c r="D9" s="13" t="str">
        <x:v>移る前の準備</x:v>
      </x:c>
      <x:c r="E9" s="13" t="str">
        <x:f>N9&amp;IF(O9="",""," / "&amp;O9)&amp;IF(P9="",""," / "&amp;P9)&amp;IF(Q9="",""," / "&amp;Q9)</x:f>
        <x:v>早期退職 / 住宅ローン / クレジットカード / 事業用口座</x:v>
      </x:c>
      <x:c r="F9" s="13" t="str">
        <x:v>高</x:v>
      </x:c>
      <x:c r="G9" s="13" t="str">
        <x:v>W1：0〜1か月</x:v>
      </x:c>
      <x:c r="H9" s="13" t="str">
        <x:v>ハブ</x:v>
      </x:c>
      <x:c r="I9" s="13" t="str">
        <x:v>早期退職 退職前 やること</x:v>
      </x:c>
      <x:c r="J9" s="13" t="str">
        <x:v>進める</x:v>
      </x:c>
      <x:c r="K9" s="13" t="str">
        <x:v>S1・S3：退職前</x:v>
      </x:c>
      <x:c r="L9" s="17" t="str">
        <x:v>未着手</x:v>
      </x:c>
      <x:c r="M9" s="13" t="str">
        <x:v>before-leaving-checklist</x:v>
      </x:c>
      <x:c r="N9" s="13" t="str">
        <x:v>早期退職</x:v>
      </x:c>
      <x:c r="O9" s="13" t="str">
        <x:v>住宅ローン</x:v>
      </x:c>
      <x:c r="P9" s="13" t="str">
        <x:v>クレジットカード</x:v>
      </x:c>
      <x:c r="Q9" s="13" t="str">
        <x:v>事業用口座</x:v>
      </x:c>
    </x:row>
    <x:row r="10" ht="48" customHeight="1">
      <x:c r="A10" s="15" t="n">
        <x:v>3</x:v>
      </x:c>
      <x:c r="B10" s="14" t="str">
        <x:v>TD-06</x:v>
      </x:c>
      <x:c r="C10" s="14" t="str">
        <x:v>50代で独立する手順：退職前から開業1年目までの準備</x:v>
      </x:c>
      <x:c r="D10" s="14" t="str">
        <x:v>独立する</x:v>
      </x:c>
      <x:c r="E10" s="14" t="str">
        <x:f>N10&amp;IF(O10="",""," / "&amp;O10)&amp;IF(P10="",""," / "&amp;P10)&amp;IF(Q10="",""," / "&amp;Q10)</x:f>
        <x:v>早期退職 / 役職定年 / 個人事業主</x:v>
      </x:c>
      <x:c r="F10" s="14" t="str">
        <x:v>高</x:v>
      </x:c>
      <x:c r="G10" s="14" t="str">
        <x:v>W2：2〜3か月</x:v>
      </x:c>
      <x:c r="H10" s="14" t="str">
        <x:v>ハブ</x:v>
      </x:c>
      <x:c r="I10" s="14" t="str">
        <x:v>50代 独立 準備 手順</x:v>
      </x:c>
      <x:c r="J10" s="14" t="str">
        <x:v>進める</x:v>
      </x:c>
      <x:c r="K10" s="14" t="str">
        <x:v>S2・S3：退職前〜開業1年目</x:v>
      </x:c>
      <x:c r="L10" s="17" t="str">
        <x:v>未着手</x:v>
      </x:c>
      <x:c r="M10" s="14" t="str">
        <x:v>independence-roadmap</x:v>
      </x:c>
      <x:c r="N10" s="14" t="str">
        <x:v>早期退職</x:v>
      </x:c>
      <x:c r="O10" s="14" t="str">
        <x:v>役職定年</x:v>
      </x:c>
      <x:c r="P10" s="14" t="str">
        <x:v>個人事業主</x:v>
      </x:c>
      <x:c r="Q10" s="14" t="str"/>
    </x:row>
    <x:row r="11" ht="48" customHeight="1">
      <x:c r="A11" s="16" t="n">
        <x:v>4</x:v>
      </x:c>
      <x:c r="B11" s="13" t="str">
        <x:v>TD-14</x:v>
      </x:c>
      <x:c r="C11" s="13" t="str">
        <x:v>50代の転職の進め方：早期退職の前後、いつ何を準備するか</x:v>
      </x:c>
      <x:c r="D11" s="13" t="str">
        <x:v>転職する</x:v>
      </x:c>
      <x:c r="E11" s="13" t="str">
        <x:f>N11&amp;IF(O11="",""," / "&amp;O11)&amp;IF(P11="",""," / "&amp;P11)&amp;IF(Q11="",""," / "&amp;Q11)</x:f>
        <x:v>早期退職 / 役職定年 / 転職サービス</x:v>
      </x:c>
      <x:c r="F11" s="13" t="str">
        <x:v>高</x:v>
      </x:c>
      <x:c r="G11" s="13" t="str">
        <x:v>W2：2〜3か月</x:v>
      </x:c>
      <x:c r="H11" s="13" t="str">
        <x:v>ハブ</x:v>
      </x:c>
      <x:c r="I11" s="13" t="str">
        <x:v>50代 早期退職 転職 進め方</x:v>
      </x:c>
      <x:c r="J11" s="13" t="str">
        <x:v>進める</x:v>
      </x:c>
      <x:c r="K11" s="13" t="str">
        <x:v>S1・S3：退職前〜入社</x:v>
      </x:c>
      <x:c r="L11" s="17" t="str">
        <x:v>未着手</x:v>
      </x:c>
      <x:c r="M11" s="13" t="str">
        <x:v>career-change-roadmap</x:v>
      </x:c>
      <x:c r="N11" s="13" t="str">
        <x:v>早期退職</x:v>
      </x:c>
      <x:c r="O11" s="13" t="str">
        <x:v>役職定年</x:v>
      </x:c>
      <x:c r="P11" s="13" t="str">
        <x:v>転職サービス</x:v>
      </x:c>
      <x:c r="Q11" s="13" t="str"/>
    </x:row>
    <x:row r="12" ht="48" customHeight="1">
      <x:c r="A12" s="15" t="n">
        <x:v>5</x:v>
      </x:c>
      <x:c r="B12" s="14" t="str">
        <x:v>TD-26</x:v>
      </x:c>
      <x:c r="C12" s="14" t="str">
        <x:v>退職後の手続きと期限の一覧：独立・転職・未定で確認すること</x:v>
      </x:c>
      <x:c r="D12" s="14" t="str">
        <x:v>退職後の手続き</x:v>
      </x:c>
      <x:c r="E12" s="14" t="str">
        <x:f>N12&amp;IF(O12="",""," / "&amp;O12)&amp;IF(P12="",""," / "&amp;P12)&amp;IF(Q12="",""," / "&amp;Q12)</x:f>
        <x:v>早期退職 / 健康保険 / 年金 / 企業型DC・iDeCo</x:v>
      </x:c>
      <x:c r="F12" s="14" t="str">
        <x:v>高</x:v>
      </x:c>
      <x:c r="G12" s="14" t="str">
        <x:v>W2：2〜3か月</x:v>
      </x:c>
      <x:c r="H12" s="14" t="str">
        <x:v>ハブ</x:v>
      </x:c>
      <x:c r="I12" s="14" t="str">
        <x:v>退職後 手続き 期限</x:v>
      </x:c>
      <x:c r="J12" s="14" t="str">
        <x:v>進める</x:v>
      </x:c>
      <x:c r="K12" s="14" t="str">
        <x:v>S3：退職後〜入社・開業</x:v>
      </x:c>
      <x:c r="L12" s="17" t="str">
        <x:v>未着手</x:v>
      </x:c>
      <x:c r="M12" s="14" t="str">
        <x:v>after-leaving-procedures</x:v>
      </x:c>
      <x:c r="N12" s="14" t="str">
        <x:v>早期退職</x:v>
      </x:c>
      <x:c r="O12" s="14" t="str">
        <x:v>健康保険</x:v>
      </x:c>
      <x:c r="P12" s="14" t="str">
        <x:v>年金</x:v>
      </x:c>
      <x:c r="Q12" s="14" t="str">
        <x:v>企業型DC・iDeCo</x:v>
      </x:c>
    </x:row>
    <x:row r="13" ht="48" customHeight="1">
      <x:c r="A13" s="16" t="n">
        <x:v>6</x:v>
      </x:c>
      <x:c r="B13" s="13" t="str">
        <x:v>TD-19</x:v>
      </x:c>
      <x:c r="C13" s="13" t="str">
        <x:v>退職金を狙う話の見分け方：FC・物販・投資・退職給付金サポートを確認する</x:v>
      </x:c>
      <x:c r="D13" s="13" t="str">
        <x:v>独立と転職を比べる</x:v>
      </x:c>
      <x:c r="E13" s="13" t="str">
        <x:f>N13&amp;IF(O13="",""," / "&amp;O13)&amp;IF(P13="",""," / "&amp;P13)&amp;IF(Q13="",""," / "&amp;Q13)</x:f>
        <x:v>退職金 / フランチャイズ / スモールM&amp;A / 失業給付</x:v>
      </x:c>
      <x:c r="F13" s="13" t="str">
        <x:v>高</x:v>
      </x:c>
      <x:c r="G13" s="13" t="str">
        <x:v>W2：2〜3か月</x:v>
      </x:c>
      <x:c r="H13" s="13" t="str"/>
      <x:c r="I13" s="13" t="str">
        <x:v>退職金 勧誘 注意</x:v>
      </x:c>
      <x:c r="J13" s="13" t="str">
        <x:v>確認・解決する</x:v>
      </x:c>
      <x:c r="K13" s="13" t="str">
        <x:v>S1・S2・S3：比較検討〜契約前</x:v>
      </x:c>
      <x:c r="L13" s="17" t="str">
        <x:v>未着手</x:v>
      </x:c>
      <x:c r="M13" s="13" t="str">
        <x:v>protect-retirement-money</x:v>
      </x:c>
      <x:c r="N13" s="13" t="str">
        <x:v>退職金</x:v>
      </x:c>
      <x:c r="O13" s="13" t="str">
        <x:v>フランチャイズ</x:v>
      </x:c>
      <x:c r="P13" s="13" t="str">
        <x:v>スモールM&amp;A</x:v>
      </x:c>
      <x:c r="Q13" s="13" t="str">
        <x:v>失業給付</x:v>
      </x:c>
    </x:row>
    <x:row r="14" ht="48" customHeight="1">
      <x:c r="A14" s="15" t="n">
        <x:v>7</x:v>
      </x:c>
      <x:c r="B14" s="14" t="str">
        <x:v>TD-02</x:v>
      </x:c>
      <x:c r="C14" s="14" t="str">
        <x:v>独立か転職かを決める前に、自分の市場価値を確かめる方法</x:v>
      </x:c>
      <x:c r="D14" s="14" t="str">
        <x:v>独立と転職を比べる</x:v>
      </x:c>
      <x:c r="E14" s="14" t="str">
        <x:f>N14&amp;IF(O14="",""," / "&amp;O14)&amp;IF(P14="",""," / "&amp;P14)&amp;IF(Q14="",""," / "&amp;Q14)</x:f>
        <x:v>市場価値 / 転職サービス / 顧問</x:v>
      </x:c>
      <x:c r="F14" s="14" t="str">
        <x:v>高</x:v>
      </x:c>
      <x:c r="G14" s="14" t="str">
        <x:v>W2：2〜3か月</x:v>
      </x:c>
      <x:c r="H14" s="14" t="str"/>
      <x:c r="I14" s="14" t="str">
        <x:v>50代 市場価値 調べる</x:v>
      </x:c>
      <x:c r="J14" s="14" t="str">
        <x:v>進める</x:v>
      </x:c>
      <x:c r="K14" s="14" t="str">
        <x:v>S1・S2：比較検討</x:v>
      </x:c>
      <x:c r="L14" s="17" t="str">
        <x:v>未着手</x:v>
      </x:c>
      <x:c r="M14" s="14" t="str">
        <x:v>check-market-value</x:v>
      </x:c>
      <x:c r="N14" s="14" t="str">
        <x:v>市場価値</x:v>
      </x:c>
      <x:c r="O14" s="14" t="str">
        <x:v>転職サービス</x:v>
      </x:c>
      <x:c r="P14" s="14" t="str">
        <x:v>顧問</x:v>
      </x:c>
      <x:c r="Q14" s="14" t="str"/>
    </x:row>
    <x:row r="15" ht="48" customHeight="1">
      <x:c r="A15" s="16" t="n">
        <x:v>8</x:v>
      </x:c>
      <x:c r="B15" s="13" t="str">
        <x:v>TD-03</x:v>
      </x:c>
      <x:c r="C15" s="13" t="str">
        <x:v>50代の独立で経験を活かす：顧問・業務委託・コンサル・FC・M&amp;Aを比較</x:v>
      </x:c>
      <x:c r="D15" s="13" t="str">
        <x:v>独立と転職を比べる</x:v>
      </x:c>
      <x:c r="E15" s="13" t="str">
        <x:f>N15&amp;IF(O15="",""," / "&amp;O15)&amp;IF(P15="",""," / "&amp;P15)&amp;IF(Q15="",""," / "&amp;Q15)</x:f>
        <x:v>顧問 / 業務委託 / フランチャイズ / スモールM&amp;A</x:v>
      </x:c>
      <x:c r="F15" s="13" t="str">
        <x:v>高</x:v>
      </x:c>
      <x:c r="G15" s="13" t="str">
        <x:v>W2：2〜3か月</x:v>
      </x:c>
      <x:c r="H15" s="13" t="str"/>
      <x:c r="I15" s="13" t="str">
        <x:v>50代 独立 仕事 種類</x:v>
      </x:c>
      <x:c r="J15" s="13" t="str">
        <x:v>選ぶ</x:v>
      </x:c>
      <x:c r="K15" s="13" t="str">
        <x:v>S2・S3：比較検討</x:v>
      </x:c>
      <x:c r="L15" s="17" t="str">
        <x:v>未着手</x:v>
      </x:c>
      <x:c r="M15" s="13" t="str">
        <x:v>ways-to-work-independently</x:v>
      </x:c>
      <x:c r="N15" s="13" t="str">
        <x:v>顧問</x:v>
      </x:c>
      <x:c r="O15" s="13" t="str">
        <x:v>業務委託</x:v>
      </x:c>
      <x:c r="P15" s="13" t="str">
        <x:v>フランチャイズ</x:v>
      </x:c>
      <x:c r="Q15" s="13" t="str">
        <x:v>スモールM&amp;A</x:v>
      </x:c>
    </x:row>
    <x:row r="16" ht="48" customHeight="1">
      <x:c r="A16" s="15" t="n">
        <x:v>9</x:v>
      </x:c>
      <x:c r="B16" s="14" t="str">
        <x:v>TD-07</x:v>
      </x:c>
      <x:c r="C16" s="14" t="str">
        <x:v>元の会社と業務委託契約を結んで独立する：交渉と契約の確認事項</x:v>
      </x:c>
      <x:c r="D16" s="14" t="str">
        <x:v>独立する</x:v>
      </x:c>
      <x:c r="E16" s="14" t="str">
        <x:f>N16&amp;IF(O16="",""," / "&amp;O16)&amp;IF(P16="",""," / "&amp;P16)&amp;IF(Q16="",""," / "&amp;Q16)</x:f>
        <x:v>業務委託 / 顧問 / 収入・年収</x:v>
      </x:c>
      <x:c r="F16" s="14" t="str">
        <x:v>高</x:v>
      </x:c>
      <x:c r="G16" s="14" t="str">
        <x:v>W2：2〜3か月</x:v>
      </x:c>
      <x:c r="H16" s="14" t="str"/>
      <x:c r="I16" s="14" t="str">
        <x:v>退職 元の会社 業務委託</x:v>
      </x:c>
      <x:c r="J16" s="14" t="str">
        <x:v>進める</x:v>
      </x:c>
      <x:c r="K16" s="14" t="str">
        <x:v>S2・S3：退職前</x:v>
      </x:c>
      <x:c r="L16" s="17" t="str">
        <x:v>未着手</x:v>
      </x:c>
      <x:c r="M16" s="14" t="str">
        <x:v>former-employer-contract</x:v>
      </x:c>
      <x:c r="N16" s="14" t="str">
        <x:v>業務委託</x:v>
      </x:c>
      <x:c r="O16" s="14" t="str">
        <x:v>顧問</x:v>
      </x:c>
      <x:c r="P16" s="14" t="str">
        <x:v>収入・年収</x:v>
      </x:c>
      <x:c r="Q16" s="14" t="str"/>
    </x:row>
    <x:row r="17" ht="48" customHeight="1">
      <x:c r="A17" s="16" t="n">
        <x:v>10</x:v>
      </x:c>
      <x:c r="B17" s="13" t="str">
        <x:v>TD-08</x:v>
      </x:c>
      <x:c r="C17" s="13" t="str">
        <x:v>顧問として独立する：登録サービスの違いと仕事の始め方</x:v>
      </x:c>
      <x:c r="D17" s="13" t="str">
        <x:v>独立する</x:v>
      </x:c>
      <x:c r="E17" s="13" t="str">
        <x:f>N17&amp;IF(O17="",""," / "&amp;O17)&amp;IF(P17="",""," / "&amp;P17)&amp;IF(Q17="",""," / "&amp;Q17)</x:f>
        <x:v>顧問 / 市場価値 / 収入・年収</x:v>
      </x:c>
      <x:c r="F17" s="13" t="str">
        <x:v>高</x:v>
      </x:c>
      <x:c r="G17" s="13" t="str">
        <x:v>W2：2〜3か月</x:v>
      </x:c>
      <x:c r="H17" s="13" t="str"/>
      <x:c r="I17" s="13" t="str">
        <x:v>50代 顧問 独立 サービス</x:v>
      </x:c>
      <x:c r="J17" s="13" t="str">
        <x:v>選ぶ</x:v>
      </x:c>
      <x:c r="K17" s="13" t="str">
        <x:v>S2・S3：退職前〜開業初期</x:v>
      </x:c>
      <x:c r="L17" s="17" t="str">
        <x:v>未着手</x:v>
      </x:c>
      <x:c r="M17" s="13" t="str">
        <x:v>advisory-work-services</x:v>
      </x:c>
      <x:c r="N17" s="13" t="str">
        <x:v>顧問</x:v>
      </x:c>
      <x:c r="O17" s="13" t="str">
        <x:v>市場価値</x:v>
      </x:c>
      <x:c r="P17" s="13" t="str">
        <x:v>収入・年収</x:v>
      </x:c>
      <x:c r="Q17" s="13" t="str"/>
    </x:row>
    <x:row r="18" ht="48" customHeight="1">
      <x:c r="A18" s="15" t="n">
        <x:v>11</x:v>
      </x:c>
      <x:c r="B18" s="14" t="str">
        <x:v>TD-15</x:v>
      </x:c>
      <x:c r="C18" s="14" t="str">
        <x:v>50代向け転職サービス比較：スカウト型とエージェント型の違い</x:v>
      </x:c>
      <x:c r="D18" s="14" t="str">
        <x:v>転職する</x:v>
      </x:c>
      <x:c r="E18" s="14" t="str">
        <x:f>N18&amp;IF(O18="",""," / "&amp;O18)&amp;IF(P18="",""," / "&amp;P18)&amp;IF(Q18="",""," / "&amp;Q18)</x:f>
        <x:v>転職サービス / 市場価値 / 収入・年収</x:v>
      </x:c>
      <x:c r="F18" s="14" t="str">
        <x:v>高</x:v>
      </x:c>
      <x:c r="G18" s="14" t="str">
        <x:v>W2：2〜3か月</x:v>
      </x:c>
      <x:c r="H18" s="14" t="str"/>
      <x:c r="I18" s="14" t="str">
        <x:v>50代 転職 サービス 比較</x:v>
      </x:c>
      <x:c r="J18" s="14" t="str">
        <x:v>選ぶ</x:v>
      </x:c>
      <x:c r="K18" s="14" t="str">
        <x:v>S1・S3：退職前〜転職活動</x:v>
      </x:c>
      <x:c r="L18" s="17" t="str">
        <x:v>未着手</x:v>
      </x:c>
      <x:c r="M18" s="14" t="str">
        <x:v>midlife-career-services</x:v>
      </x:c>
      <x:c r="N18" s="14" t="str">
        <x:v>転職サービス</x:v>
      </x:c>
      <x:c r="O18" s="14" t="str">
        <x:v>市場価値</x:v>
      </x:c>
      <x:c r="P18" s="14" t="str">
        <x:v>収入・年収</x:v>
      </x:c>
      <x:c r="Q18" s="14" t="str"/>
    </x:row>
    <x:row r="19" ht="48" customHeight="1">
      <x:c r="A19" s="16" t="n">
        <x:v>12</x:v>
      </x:c>
      <x:c r="B19" s="13" t="str">
        <x:v>TD-21</x:v>
      </x:c>
      <x:c r="C19" s="13" t="str">
        <x:v>早期退職の離職理由と失業給付：会社都合になる条件と給付日数を確認する</x:v>
      </x:c>
      <x:c r="D19" s="13" t="str">
        <x:v>移る前の準備</x:v>
      </x:c>
      <x:c r="E19" s="13" t="str">
        <x:f>N19&amp;IF(O19="",""," / "&amp;O19)&amp;IF(P19="",""," / "&amp;P19)&amp;IF(Q19="",""," / "&amp;Q19)</x:f>
        <x:v>早期退職 / 失業給付</x:v>
      </x:c>
      <x:c r="F19" s="13" t="str">
        <x:v>高</x:v>
      </x:c>
      <x:c r="G19" s="13" t="str">
        <x:v>W2：2〜3か月</x:v>
      </x:c>
      <x:c r="H19" s="13" t="str"/>
      <x:c r="I19" s="13" t="str">
        <x:v>早期退職 会社都合 失業給付</x:v>
      </x:c>
      <x:c r="J19" s="13" t="str">
        <x:v>確認・解決する</x:v>
      </x:c>
      <x:c r="K19" s="13" t="str">
        <x:v>S1・S3：退職前〜給付申請</x:v>
      </x:c>
      <x:c r="L19" s="17" t="str">
        <x:v>未着手</x:v>
      </x:c>
      <x:c r="M19" s="13" t="str">
        <x:v>early-retirement-unemployment-status</x:v>
      </x:c>
      <x:c r="N19" s="13" t="str">
        <x:v>早期退職</x:v>
      </x:c>
      <x:c r="O19" s="13" t="str">
        <x:v>失業給付</x:v>
      </x:c>
      <x:c r="P19" s="13" t="str"/>
      <x:c r="Q19" s="13" t="str"/>
    </x:row>
    <x:row r="20" ht="48" customHeight="1">
      <x:c r="A20" s="15" t="n">
        <x:v>13</x:v>
      </x:c>
      <x:c r="B20" s="14" t="str">
        <x:v>TD-22</x:v>
      </x:c>
      <x:c r="C20" s="14" t="str">
        <x:v>独立する人の失業給付：再就職手当と起業時の受給期間の特例を確認する</x:v>
      </x:c>
      <x:c r="D20" s="14" t="str">
        <x:v>移る前の準備</x:v>
      </x:c>
      <x:c r="E20" s="14" t="str">
        <x:f>N20&amp;IF(O20="",""," / "&amp;O20)&amp;IF(P20="",""," / "&amp;P20)&amp;IF(Q20="",""," / "&amp;Q20)</x:f>
        <x:v>失業給付 / 個人事業主 / 早期退職</x:v>
      </x:c>
      <x:c r="F20" s="14" t="str">
        <x:v>高</x:v>
      </x:c>
      <x:c r="G20" s="14" t="str">
        <x:v>W2：2〜3か月</x:v>
      </x:c>
      <x:c r="H20" s="14" t="str"/>
      <x:c r="I20" s="14" t="str">
        <x:v>独立 失業給付 再就職手当</x:v>
      </x:c>
      <x:c r="J20" s="14" t="str">
        <x:v>確認・解決する</x:v>
      </x:c>
      <x:c r="K20" s="14" t="str">
        <x:v>S3：退職前〜開業</x:v>
      </x:c>
      <x:c r="L20" s="17" t="str">
        <x:v>未着手</x:v>
      </x:c>
      <x:c r="M20" s="14" t="str">
        <x:v>starting-business-and-unemployment-benefits</x:v>
      </x:c>
      <x:c r="N20" s="14" t="str">
        <x:v>失業給付</x:v>
      </x:c>
      <x:c r="O20" s="14" t="str">
        <x:v>個人事業主</x:v>
      </x:c>
      <x:c r="P20" s="14" t="str">
        <x:v>早期退職</x:v>
      </x:c>
      <x:c r="Q20" s="14" t="str"/>
    </x:row>
    <x:row r="21" ht="48" customHeight="1">
      <x:c r="A21" s="16" t="n">
        <x:v>14</x:v>
      </x:c>
      <x:c r="B21" s="13" t="str">
        <x:v>TD-27</x:v>
      </x:c>
      <x:c r="C21" s="13" t="str">
        <x:v>退職後の健康保険：任意継続・国保・家族の扶養を条件で比べる</x:v>
      </x:c>
      <x:c r="D21" s="13" t="str">
        <x:v>退職後の手続き</x:v>
      </x:c>
      <x:c r="E21" s="13" t="str">
        <x:f>N21&amp;IF(O21="",""," / "&amp;O21)&amp;IF(P21="",""," / "&amp;P21)&amp;IF(Q21="",""," / "&amp;Q21)</x:f>
        <x:v>健康保険 / 早期退職 / 収入・年収</x:v>
      </x:c>
      <x:c r="F21" s="13" t="str">
        <x:v>高</x:v>
      </x:c>
      <x:c r="G21" s="13" t="str">
        <x:v>W2：2〜3か月</x:v>
      </x:c>
      <x:c r="H21" s="13" t="str"/>
      <x:c r="I21" s="13" t="str">
        <x:v>50代 退職 健康保険 比較</x:v>
      </x:c>
      <x:c r="J21" s="13" t="str">
        <x:v>選ぶ</x:v>
      </x:c>
      <x:c r="K21" s="13" t="str">
        <x:v>S3：退職後〜入社</x:v>
      </x:c>
      <x:c r="L21" s="17" t="str">
        <x:v>未着手</x:v>
      </x:c>
      <x:c r="M21" s="13" t="str">
        <x:v>health-insurance-after-leaving</x:v>
      </x:c>
      <x:c r="N21" s="13" t="str">
        <x:v>健康保険</x:v>
      </x:c>
      <x:c r="O21" s="13" t="str">
        <x:v>早期退職</x:v>
      </x:c>
      <x:c r="P21" s="13" t="str">
        <x:v>収入・年収</x:v>
      </x:c>
      <x:c r="Q21" s="13" t="str"/>
    </x:row>
    <x:row r="22" ht="48" customHeight="1">
      <x:c r="A22" s="15" t="n">
        <x:v>15</x:v>
      </x:c>
      <x:c r="B22" s="14" t="str">
        <x:v>TD-23</x:v>
      </x:c>
      <x:c r="C22" s="14" t="str">
        <x:v>住宅ローンが残る人の早期退職：繰上返済と借り換えの判断材料</x:v>
      </x:c>
      <x:c r="D22" s="14" t="str">
        <x:v>移る前の準備</x:v>
      </x:c>
      <x:c r="E22" s="14" t="str">
        <x:f>N22&amp;IF(O22="",""," / "&amp;O22)&amp;IF(P22="",""," / "&amp;P22)&amp;IF(Q22="",""," / "&amp;Q22)</x:f>
        <x:v>早期退職 / 住宅ローン / 退職金</x:v>
      </x:c>
      <x:c r="F22" s="14" t="str">
        <x:v>高</x:v>
      </x:c>
      <x:c r="G22" s="14" t="str">
        <x:v>W2：2〜3か月</x:v>
      </x:c>
      <x:c r="H22" s="14" t="str"/>
      <x:c r="I22" s="14" t="str">
        <x:v>早期退職 住宅ローン</x:v>
      </x:c>
      <x:c r="J22" s="14" t="str">
        <x:v>比べる</x:v>
      </x:c>
      <x:c r="K22" s="14" t="str">
        <x:v>S1・S3：退職前</x:v>
      </x:c>
      <x:c r="L22" s="17" t="str">
        <x:v>未着手</x:v>
      </x:c>
      <x:c r="M22" s="14" t="str">
        <x:v>housing-loan-after-early-retirement</x:v>
      </x:c>
      <x:c r="N22" s="14" t="str">
        <x:v>早期退職</x:v>
      </x:c>
      <x:c r="O22" s="14" t="str">
        <x:v>住宅ローン</x:v>
      </x:c>
      <x:c r="P22" s="14" t="str">
        <x:v>退職金</x:v>
      </x:c>
      <x:c r="Q22" s="14" t="str"/>
    </x:row>
    <x:row r="23" ht="48" customHeight="1">
      <x:c r="A23" s="16" t="n">
        <x:v>16</x:v>
      </x:c>
      <x:c r="B23" s="13" t="str">
        <x:v>TD-25</x:v>
      </x:c>
      <x:c r="C23" s="13" t="str">
        <x:v>割増退職金と次の収入から生活の見通しを立てる：確認する支出と収入</x:v>
      </x:c>
      <x:c r="D23" s="13" t="str">
        <x:v>移る前の準備</x:v>
      </x:c>
      <x:c r="E23" s="13" t="str">
        <x:f>N23&amp;IF(O23="",""," / "&amp;O23)&amp;IF(P23="",""," / "&amp;P23)&amp;IF(Q23="",""," / "&amp;Q23)</x:f>
        <x:v>退職金 / 収入・年収 / 住宅ローン / 税金・申告</x:v>
      </x:c>
      <x:c r="F23" s="13" t="str">
        <x:v>中</x:v>
      </x:c>
      <x:c r="G23" s="13" t="str">
        <x:v>W3：4〜6か月</x:v>
      </x:c>
      <x:c r="H23" s="13" t="str"/>
      <x:c r="I23" s="13" t="str">
        <x:v>早期退職 退職金 生活費</x:v>
      </x:c>
      <x:c r="J23" s="13" t="str">
        <x:v>進める</x:v>
      </x:c>
      <x:c r="K23" s="13" t="str">
        <x:v>S1・S3：退職前〜移行期</x:v>
      </x:c>
      <x:c r="L23" s="17" t="str">
        <x:v>未着手</x:v>
      </x:c>
      <x:c r="M23" s="13" t="str">
        <x:v>living-costs-and-retirement-money</x:v>
      </x:c>
      <x:c r="N23" s="13" t="str">
        <x:v>退職金</x:v>
      </x:c>
      <x:c r="O23" s="13" t="str">
        <x:v>収入・年収</x:v>
      </x:c>
      <x:c r="P23" s="13" t="str">
        <x:v>住宅ローン</x:v>
      </x:c>
      <x:c r="Q23" s="13" t="str">
        <x:v>税金・申告</x:v>
      </x:c>
    </x:row>
    <x:row r="24" ht="48" customHeight="1">
      <x:c r="A24" s="15" t="n">
        <x:v>17</x:v>
      </x:c>
      <x:c r="B24" s="14" t="str">
        <x:v>TD-30</x:v>
      </x:c>
      <x:c r="C24" s="14" t="str">
        <x:v>退職したら企業型DCはどうする？移換先と手続きの期限を確認する</x:v>
      </x:c>
      <x:c r="D24" s="14" t="str">
        <x:v>退職後の手続き</x:v>
      </x:c>
      <x:c r="E24" s="14" t="str">
        <x:f>N24&amp;IF(O24="",""," / "&amp;O24)&amp;IF(P24="",""," / "&amp;P24)&amp;IF(Q24="",""," / "&amp;Q24)</x:f>
        <x:v>企業型DC・iDeCo / 年金 / 早期退職</x:v>
      </x:c>
      <x:c r="F24" s="14" t="str">
        <x:v>中</x:v>
      </x:c>
      <x:c r="G24" s="14" t="str">
        <x:v>W3：4〜6か月</x:v>
      </x:c>
      <x:c r="H24" s="14" t="str"/>
      <x:c r="I24" s="14" t="str">
        <x:v>退職 企業型DC 移換 期限</x:v>
      </x:c>
      <x:c r="J24" s="14" t="str">
        <x:v>進める</x:v>
      </x:c>
      <x:c r="K24" s="14" t="str">
        <x:v>S3：退職前後</x:v>
      </x:c>
      <x:c r="L24" s="17" t="str">
        <x:v>未着手</x:v>
      </x:c>
      <x:c r="M24" s="14" t="str">
        <x:v>corporate-dc-transfer</x:v>
      </x:c>
      <x:c r="N24" s="14" t="str">
        <x:v>企業型DC・iDeCo</x:v>
      </x:c>
      <x:c r="O24" s="14" t="str">
        <x:v>年金</x:v>
      </x:c>
      <x:c r="P24" s="14" t="str">
        <x:v>早期退職</x:v>
      </x:c>
      <x:c r="Q24" s="14" t="str"/>
    </x:row>
    <x:row r="25" ht="48" customHeight="1">
      <x:c r="A25" s="16" t="n">
        <x:v>18</x:v>
      </x:c>
      <x:c r="B25" s="13" t="str">
        <x:v>TD-13</x:v>
      </x:c>
      <x:c r="C25" s="13" t="str">
        <x:v>50代で個人事業主になる：開業届・青色申告・会計ソフトの準備</x:v>
      </x:c>
      <x:c r="D25" s="13" t="str">
        <x:v>独立する</x:v>
      </x:c>
      <x:c r="E25" s="13" t="str">
        <x:f>N25&amp;IF(O25="",""," / "&amp;O25)&amp;IF(P25="",""," / "&amp;P25)&amp;IF(Q25="",""," / "&amp;Q25)</x:f>
        <x:v>個人事業主 / 税金・申告 / 事業用口座</x:v>
      </x:c>
      <x:c r="F25" s="13" t="str">
        <x:v>中</x:v>
      </x:c>
      <x:c r="G25" s="13" t="str">
        <x:v>W3：4〜6か月</x:v>
      </x:c>
      <x:c r="H25" s="13" t="str"/>
      <x:c r="I25" s="13" t="str">
        <x:v>50代 個人事業主 開業届</x:v>
      </x:c>
      <x:c r="J25" s="13" t="str">
        <x:v>進める</x:v>
      </x:c>
      <x:c r="K25" s="13" t="str">
        <x:v>S3：開業前後</x:v>
      </x:c>
      <x:c r="L25" s="17" t="str">
        <x:v>未着手</x:v>
      </x:c>
      <x:c r="M25" s="13" t="str">
        <x:v>sole-proprietor-registration</x:v>
      </x:c>
      <x:c r="N25" s="13" t="str">
        <x:v>個人事業主</x:v>
      </x:c>
      <x:c r="O25" s="13" t="str">
        <x:v>税金・申告</x:v>
      </x:c>
      <x:c r="P25" s="13" t="str">
        <x:v>事業用口座</x:v>
      </x:c>
      <x:c r="Q25" s="13" t="str"/>
    </x:row>
    <x:row r="26" ht="48" customHeight="1">
      <x:c r="A26" s="15" t="n">
        <x:v>19</x:v>
      </x:c>
      <x:c r="B26" s="14" t="str">
        <x:v>TD-16</x:v>
      </x:c>
      <x:c r="C26" s="14" t="str">
        <x:v>スカウト型転職サービスの使い方：在職中に市場の反応を見る</x:v>
      </x:c>
      <x:c r="D26" s="14" t="str">
        <x:v>転職する</x:v>
      </x:c>
      <x:c r="E26" s="14" t="str">
        <x:f>N26&amp;IF(O26="",""," / "&amp;O26)&amp;IF(P26="",""," / "&amp;P26)&amp;IF(Q26="",""," / "&amp;Q26)</x:f>
        <x:v>転職サービス / 市場価値 / 職務経歴書</x:v>
      </x:c>
      <x:c r="F26" s="14" t="str">
        <x:v>中</x:v>
      </x:c>
      <x:c r="G26" s="14" t="str">
        <x:v>W3：4〜6か月</x:v>
      </x:c>
      <x:c r="H26" s="14" t="str"/>
      <x:c r="I26" s="14" t="str">
        <x:v>50代 スカウト 在職中</x:v>
      </x:c>
      <x:c r="J26" s="14" t="str">
        <x:v>進める</x:v>
      </x:c>
      <x:c r="K26" s="14" t="str">
        <x:v>S1・S2：在職中</x:v>
      </x:c>
      <x:c r="L26" s="17" t="str">
        <x:v>未着手</x:v>
      </x:c>
      <x:c r="M26" s="14" t="str">
        <x:v>use-scout-services</x:v>
      </x:c>
      <x:c r="N26" s="14" t="str">
        <x:v>転職サービス</x:v>
      </x:c>
      <x:c r="O26" s="14" t="str">
        <x:v>市場価値</x:v>
      </x:c>
      <x:c r="P26" s="14" t="str">
        <x:v>職務経歴書</x:v>
      </x:c>
      <x:c r="Q26" s="14" t="str"/>
    </x:row>
    <x:row r="27" ht="48" customHeight="1">
      <x:c r="A27" s="16" t="n">
        <x:v>20</x:v>
      </x:c>
      <x:c r="B27" s="13" t="str">
        <x:v>TD-17</x:v>
      </x:c>
      <x:c r="C27" s="13" t="str">
        <x:v>50代の職務経歴書：管理職経験を成果と再現できる能力で伝える</x:v>
      </x:c>
      <x:c r="D27" s="13" t="str">
        <x:v>転職する</x:v>
      </x:c>
      <x:c r="E27" s="13" t="str">
        <x:f>N27&amp;IF(O27="",""," / "&amp;O27)&amp;IF(P27="",""," / "&amp;P27)&amp;IF(Q27="",""," / "&amp;Q27)</x:f>
        <x:v>職務経歴書 / 市場価値 / 顧問</x:v>
      </x:c>
      <x:c r="F27" s="13" t="str">
        <x:v>中</x:v>
      </x:c>
      <x:c r="G27" s="13" t="str">
        <x:v>W3：4〜6か月</x:v>
      </x:c>
      <x:c r="H27" s="13" t="str"/>
      <x:c r="I27" s="13" t="str">
        <x:v>50代 職務経歴書 管理職</x:v>
      </x:c>
      <x:c r="J27" s="13" t="str">
        <x:v>進める</x:v>
      </x:c>
      <x:c r="K27" s="13" t="str">
        <x:v>S1・S3：転職活動</x:v>
      </x:c>
      <x:c r="L27" s="17" t="str">
        <x:v>未着手</x:v>
      </x:c>
      <x:c r="M27" s="13" t="str">
        <x:v>resume-for-managers</x:v>
      </x:c>
      <x:c r="N27" s="13" t="str">
        <x:v>職務経歴書</x:v>
      </x:c>
      <x:c r="O27" s="13" t="str">
        <x:v>市場価値</x:v>
      </x:c>
      <x:c r="P27" s="13" t="str">
        <x:v>顧問</x:v>
      </x:c>
      <x:c r="Q27" s="13" t="str"/>
    </x:row>
    <x:row r="28" ht="48" customHeight="1">
      <x:c r="A28" s="15" t="n">
        <x:v>21</x:v>
      </x:c>
      <x:c r="B28" s="14" t="str">
        <x:v>TD-24</x:v>
      </x:c>
      <x:c r="C28" s="14" t="str">
        <x:v>退職前にカードと事業用口座を確認する：審査・開業時期・使い分け</x:v>
      </x:c>
      <x:c r="D28" s="14" t="str">
        <x:v>移る前の準備</x:v>
      </x:c>
      <x:c r="E28" s="14" t="str">
        <x:f>N28&amp;IF(O28="",""," / "&amp;O28)&amp;IF(P28="",""," / "&amp;P28)&amp;IF(Q28="",""," / "&amp;Q28)</x:f>
        <x:v>クレジットカード / 事業用口座 / 個人事業主</x:v>
      </x:c>
      <x:c r="F28" s="14" t="str">
        <x:v>中</x:v>
      </x:c>
      <x:c r="G28" s="14" t="str">
        <x:v>W3：4〜6か月</x:v>
      </x:c>
      <x:c r="H28" s="14" t="str"/>
      <x:c r="I28" s="14" t="str">
        <x:v>退職前 カード 事業用口座</x:v>
      </x:c>
      <x:c r="J28" s="14" t="str">
        <x:v>進める</x:v>
      </x:c>
      <x:c r="K28" s="14" t="str">
        <x:v>S3：退職前〜開業</x:v>
      </x:c>
      <x:c r="L28" s="17" t="str">
        <x:v>未着手</x:v>
      </x:c>
      <x:c r="M28" s="14" t="str">
        <x:v>cards-and-business-accounts</x:v>
      </x:c>
      <x:c r="N28" s="14" t="str">
        <x:v>クレジットカード</x:v>
      </x:c>
      <x:c r="O28" s="14" t="str">
        <x:v>事業用口座</x:v>
      </x:c>
      <x:c r="P28" s="14" t="str">
        <x:v>個人事業主</x:v>
      </x:c>
      <x:c r="Q28" s="14" t="str"/>
    </x:row>
    <x:row r="29" ht="48" customHeight="1">
      <x:c r="A29" s="16" t="n">
        <x:v>22</x:v>
      </x:c>
      <x:c r="B29" s="13" t="str">
        <x:v>TD-28</x:v>
      </x:c>
      <x:c r="C29" s="13" t="str">
        <x:v>退職後の国民年金と配偶者の手続き：入社までの空白期間も確認する</x:v>
      </x:c>
      <x:c r="D29" s="13" t="str">
        <x:v>退職後の手続き</x:v>
      </x:c>
      <x:c r="E29" s="13" t="str">
        <x:f>N29&amp;IF(O29="",""," / "&amp;O29)&amp;IF(P29="",""," / "&amp;P29)&amp;IF(Q29="",""," / "&amp;Q29)</x:f>
        <x:v>年金 / 早期退職 / 健康保険</x:v>
      </x:c>
      <x:c r="F29" s="13" t="str">
        <x:v>中</x:v>
      </x:c>
      <x:c r="G29" s="13" t="str">
        <x:v>W3：4〜6か月</x:v>
      </x:c>
      <x:c r="H29" s="13" t="str"/>
      <x:c r="I29" s="13" t="str">
        <x:v>退職 国民年金 配偶者</x:v>
      </x:c>
      <x:c r="J29" s="13" t="str">
        <x:v>進める</x:v>
      </x:c>
      <x:c r="K29" s="13" t="str">
        <x:v>S3：退職後〜入社</x:v>
      </x:c>
      <x:c r="L29" s="17" t="str">
        <x:v>未着手</x:v>
      </x:c>
      <x:c r="M29" s="13" t="str">
        <x:v>pension-and-spouse-procedures</x:v>
      </x:c>
      <x:c r="N29" s="13" t="str">
        <x:v>年金</x:v>
      </x:c>
      <x:c r="O29" s="13" t="str">
        <x:v>早期退職</x:v>
      </x:c>
      <x:c r="P29" s="13" t="str">
        <x:v>健康保険</x:v>
      </x:c>
      <x:c r="Q29" s="13" t="str"/>
    </x:row>
    <x:row r="30" ht="48" customHeight="1">
      <x:c r="A30" s="15" t="n">
        <x:v>23</x:v>
      </x:c>
      <x:c r="B30" s="14" t="str">
        <x:v>TD-29</x:v>
      </x:c>
      <x:c r="C30" s="14" t="str">
        <x:v>退職前後の住民税と退職金の税務：会社に確認する書類と納付方法</x:v>
      </x:c>
      <x:c r="D30" s="14" t="str">
        <x:v>退職後の手続き</x:v>
      </x:c>
      <x:c r="E30" s="14" t="str">
        <x:f>N30&amp;IF(O30="",""," / "&amp;O30)&amp;IF(P30="",""," / "&amp;P30)&amp;IF(Q30="",""," / "&amp;Q30)</x:f>
        <x:v>税金・申告 / 退職金 / 早期退職</x:v>
      </x:c>
      <x:c r="F30" s="14" t="str">
        <x:v>中</x:v>
      </x:c>
      <x:c r="G30" s="14" t="str">
        <x:v>W3：4〜6か月</x:v>
      </x:c>
      <x:c r="H30" s="14" t="str"/>
      <x:c r="I30" s="14" t="str">
        <x:v>退職 住民税 退職金 申告書</x:v>
      </x:c>
      <x:c r="J30" s="14" t="str">
        <x:v>進める</x:v>
      </x:c>
      <x:c r="K30" s="14" t="str">
        <x:v>S3：退職前後〜翌年</x:v>
      </x:c>
      <x:c r="L30" s="17" t="str">
        <x:v>未着手</x:v>
      </x:c>
      <x:c r="M30" s="14" t="str">
        <x:v>resident-tax-and-retirement-income</x:v>
      </x:c>
      <x:c r="N30" s="14" t="str">
        <x:v>税金・申告</x:v>
      </x:c>
      <x:c r="O30" s="14" t="str">
        <x:v>退職金</x:v>
      </x:c>
      <x:c r="P30" s="14" t="str">
        <x:v>早期退職</x:v>
      </x:c>
      <x:c r="Q30" s="14" t="str"/>
    </x:row>
    <x:row r="31" ht="48" customHeight="1">
      <x:c r="A31" s="16" t="n">
        <x:v>24</x:v>
      </x:c>
      <x:c r="B31" s="13" t="str">
        <x:v>TD-09</x:v>
      </x:c>
      <x:c r="C31" s="13" t="str">
        <x:v>会社員のうちにスポットコンサルで経験を試す：登録前の確認事項</x:v>
      </x:c>
      <x:c r="D31" s="13" t="str">
        <x:v>独立する</x:v>
      </x:c>
      <x:c r="E31" s="13" t="str">
        <x:f>N31&amp;IF(O31="",""," / "&amp;O31)&amp;IF(P31="",""," / "&amp;P31)&amp;IF(Q31="",""," / "&amp;Q31)</x:f>
        <x:v>スポットコンサル / 副業 / 市場価値</x:v>
      </x:c>
      <x:c r="F31" s="13" t="str">
        <x:v>中</x:v>
      </x:c>
      <x:c r="G31" s="13" t="str">
        <x:v>W3：4〜6か月</x:v>
      </x:c>
      <x:c r="H31" s="13" t="str"/>
      <x:c r="I31" s="13" t="str">
        <x:v>会社員 スポットコンサル 副業</x:v>
      </x:c>
      <x:c r="J31" s="13" t="str">
        <x:v>進める</x:v>
      </x:c>
      <x:c r="K31" s="13" t="str">
        <x:v>S2：在職中</x:v>
      </x:c>
      <x:c r="L31" s="17" t="str">
        <x:v>未着手</x:v>
      </x:c>
      <x:c r="M31" s="13" t="str">
        <x:v>try-spot-consulting</x:v>
      </x:c>
      <x:c r="N31" s="13" t="str">
        <x:v>スポットコンサル</x:v>
      </x:c>
      <x:c r="O31" s="13" t="str">
        <x:v>副業</x:v>
      </x:c>
      <x:c r="P31" s="13" t="str">
        <x:v>市場価値</x:v>
      </x:c>
      <x:c r="Q31" s="13" t="str"/>
    </x:row>
    <x:row r="32" ht="48" customHeight="1">
      <x:c r="A32" s="15" t="n">
        <x:v>25</x:v>
      </x:c>
      <x:c r="B32" s="14" t="str">
        <x:v>TD-10</x:v>
      </x:c>
      <x:c r="C32" s="14" t="str">
        <x:v>50代のフリーコンサル：案件の探し方と経験・稼働条件の確認</x:v>
      </x:c>
      <x:c r="D32" s="14" t="str">
        <x:v>独立する</x:v>
      </x:c>
      <x:c r="E32" s="14" t="str">
        <x:f>N32&amp;IF(O32="",""," / "&amp;O32)&amp;IF(P32="",""," / "&amp;P32)&amp;IF(Q32="",""," / "&amp;Q32)</x:f>
        <x:v>フリーコンサル / 市場価値 / 収入・年収</x:v>
      </x:c>
      <x:c r="F32" s="14" t="str">
        <x:v>中</x:v>
      </x:c>
      <x:c r="G32" s="14" t="str">
        <x:v>W3：4〜6か月</x:v>
      </x:c>
      <x:c r="H32" s="14" t="str"/>
      <x:c r="I32" s="14" t="str">
        <x:v>50代 フリーコンサル 案件</x:v>
      </x:c>
      <x:c r="J32" s="14" t="str">
        <x:v>選ぶ</x:v>
      </x:c>
      <x:c r="K32" s="14" t="str">
        <x:v>S3：退職前〜開業初期</x:v>
      </x:c>
      <x:c r="L32" s="17" t="str">
        <x:v>未着手</x:v>
      </x:c>
      <x:c r="M32" s="14" t="str">
        <x:v>freelance-consulting-in-your-50s</x:v>
      </x:c>
      <x:c r="N32" s="14" t="str">
        <x:v>フリーコンサル</x:v>
      </x:c>
      <x:c r="O32" s="14" t="str">
        <x:v>市場価値</x:v>
      </x:c>
      <x:c r="P32" s="14" t="str">
        <x:v>収入・年収</x:v>
      </x:c>
      <x:c r="Q32" s="14" t="str"/>
    </x:row>
    <x:row r="33" ht="48" customHeight="1">
      <x:c r="A33" s="16" t="n">
        <x:v>26</x:v>
      </x:c>
      <x:c r="B33" s="13" t="str">
        <x:v>TD-18</x:v>
      </x:c>
      <x:c r="C33" s="13" t="str">
        <x:v>早期退職後の転職で年収はどう変わる？求人条件と家計の見通しを整理する</x:v>
      </x:c>
      <x:c r="D33" s="13" t="str">
        <x:v>転職する</x:v>
      </x:c>
      <x:c r="E33" s="13" t="str">
        <x:f>N33&amp;IF(O33="",""," / "&amp;O33)&amp;IF(P33="",""," / "&amp;P33)&amp;IF(Q33="",""," / "&amp;Q33)</x:f>
        <x:v>早期退職 / 収入・年収 / 退職金</x:v>
      </x:c>
      <x:c r="F33" s="13" t="str">
        <x:v>中</x:v>
      </x:c>
      <x:c r="G33" s="13" t="str">
        <x:v>W3：4〜6か月</x:v>
      </x:c>
      <x:c r="H33" s="13" t="str"/>
      <x:c r="I33" s="13" t="str">
        <x:v>早期退職 転職 年収</x:v>
      </x:c>
      <x:c r="J33" s="13" t="str">
        <x:v>比べる</x:v>
      </x:c>
      <x:c r="K33" s="13" t="str">
        <x:v>S1・S3：転職活動</x:v>
      </x:c>
      <x:c r="L33" s="17" t="str">
        <x:v>未着手</x:v>
      </x:c>
      <x:c r="M33" s="13" t="str">
        <x:v>income-after-career-change</x:v>
      </x:c>
      <x:c r="N33" s="13" t="str">
        <x:v>早期退職</x:v>
      </x:c>
      <x:c r="O33" s="13" t="str">
        <x:v>収入・年収</x:v>
      </x:c>
      <x:c r="P33" s="13" t="str">
        <x:v>退職金</x:v>
      </x:c>
      <x:c r="Q33" s="13" t="str"/>
    </x:row>
    <x:row r="34" ht="48" customHeight="1">
      <x:c r="A34" s="15" t="n">
        <x:v>27</x:v>
      </x:c>
      <x:c r="B34" s="14" t="str">
        <x:v>TD-04</x:v>
      </x:c>
      <x:c r="C34" s="14" t="str">
        <x:v>独立と転職を組み合わせる：業務委託から始める、転職後に副業で準備する</x:v>
      </x:c>
      <x:c r="D34" s="14" t="str">
        <x:v>独立と転職を比べる</x:v>
      </x:c>
      <x:c r="E34" s="14" t="str">
        <x:f>N34&amp;IF(O34="",""," / "&amp;O34)&amp;IF(P34="",""," / "&amp;P34)&amp;IF(Q34="",""," / "&amp;Q34)</x:f>
        <x:v>業務委託 / 副業 / 役職定年</x:v>
      </x:c>
      <x:c r="F34" s="14" t="str">
        <x:v>中</x:v>
      </x:c>
      <x:c r="G34" s="14" t="str">
        <x:v>W3：4〜6か月</x:v>
      </x:c>
      <x:c r="H34" s="14" t="str"/>
      <x:c r="I34" s="14" t="str">
        <x:v>独立 転職 副業 業務委託</x:v>
      </x:c>
      <x:c r="J34" s="14" t="str">
        <x:v>選ぶ</x:v>
      </x:c>
      <x:c r="K34" s="14" t="str">
        <x:v>S2：比較検討</x:v>
      </x:c>
      <x:c r="L34" s="17" t="str">
        <x:v>未着手</x:v>
      </x:c>
      <x:c r="M34" s="14" t="str">
        <x:v>combine-independent-work-and-employment</x:v>
      </x:c>
      <x:c r="N34" s="14" t="str">
        <x:v>業務委託</x:v>
      </x:c>
      <x:c r="O34" s="14" t="str">
        <x:v>副業</x:v>
      </x:c>
      <x:c r="P34" s="14" t="str">
        <x:v>役職定年</x:v>
      </x:c>
      <x:c r="Q34" s="14" t="str"/>
    </x:row>
    <x:row r="35" ht="48" customHeight="1">
      <x:c r="A35" s="16" t="n">
        <x:v>28</x:v>
      </x:c>
      <x:c r="B35" s="13" t="str">
        <x:v>TD-11</x:v>
      </x:c>
      <x:c r="C35" s="13" t="str">
        <x:v>フランチャイズで独立する前に確認すること：退職金を守る契約チェック</x:v>
      </x:c>
      <x:c r="D35" s="13" t="str">
        <x:v>独立する</x:v>
      </x:c>
      <x:c r="E35" s="13" t="str">
        <x:f>N35&amp;IF(O35="",""," / "&amp;O35)&amp;IF(P35="",""," / "&amp;P35)&amp;IF(Q35="",""," / "&amp;Q35)</x:f>
        <x:v>フランチャイズ / 退職金 / 収入・年収</x:v>
      </x:c>
      <x:c r="F35" s="13" t="str">
        <x:v>中</x:v>
      </x:c>
      <x:c r="G35" s="13" t="str">
        <x:v>W3：4〜6か月</x:v>
      </x:c>
      <x:c r="H35" s="13" t="str"/>
      <x:c r="I35" s="13" t="str">
        <x:v>早期退職 フランチャイズ 注意</x:v>
      </x:c>
      <x:c r="J35" s="13" t="str">
        <x:v>確認・解決する</x:v>
      </x:c>
      <x:c r="K35" s="13" t="str">
        <x:v>S3：契約前</x:v>
      </x:c>
      <x:c r="L35" s="17" t="str">
        <x:v>未着手</x:v>
      </x:c>
      <x:c r="M35" s="13" t="str">
        <x:v>franchise-contract-checklist</x:v>
      </x:c>
      <x:c r="N35" s="13" t="str">
        <x:v>フランチャイズ</x:v>
      </x:c>
      <x:c r="O35" s="13" t="str">
        <x:v>退職金</x:v>
      </x:c>
      <x:c r="P35" s="13" t="str">
        <x:v>収入・年収</x:v>
      </x:c>
      <x:c r="Q35" s="13" t="str"/>
    </x:row>
    <x:row r="36" ht="48" customHeight="1">
      <x:c r="A36" s="15" t="n">
        <x:v>29</x:v>
      </x:c>
      <x:c r="B36" s="14" t="str">
        <x:v>TD-05</x:v>
      </x:c>
      <x:c r="C36" s="14" t="str">
        <x:v>早期退職後、独立と転職のどちらを選んだか：選択の理由を聞く</x:v>
      </x:c>
      <x:c r="D36" s="14" t="str">
        <x:v>独立と転職を比べる</x:v>
      </x:c>
      <x:c r="E36" s="14" t="str">
        <x:f>N36&amp;IF(O36="",""," / "&amp;O36)&amp;IF(P36="",""," / "&amp;P36)&amp;IF(Q36="",""," / "&amp;Q36)</x:f>
        <x:v>早期退職 / 収入・年収 / 退職金</x:v>
      </x:c>
      <x:c r="F36" s="14" t="str">
        <x:v>中</x:v>
      </x:c>
      <x:c r="G36" s="14" t="str">
        <x:v>W3：4〜6か月</x:v>
      </x:c>
      <x:c r="H36" s="14" t="str"/>
      <x:c r="I36" s="14" t="str">
        <x:v>早期退職 独立 転職 体験</x:v>
      </x:c>
      <x:c r="J36" s="14" t="str">
        <x:v>知る</x:v>
      </x:c>
      <x:c r="K36" s="14" t="str">
        <x:v>S1・S2：比較検討</x:v>
      </x:c>
      <x:c r="L36" s="17" t="str">
        <x:v>調査待ち</x:v>
      </x:c>
      <x:c r="M36" s="14" t="str">
        <x:v>survey-after-early-retirement</x:v>
      </x:c>
      <x:c r="N36" s="14" t="str">
        <x:v>早期退職</x:v>
      </x:c>
      <x:c r="O36" s="14" t="str">
        <x:v>収入・年収</x:v>
      </x:c>
      <x:c r="P36" s="14" t="str">
        <x:v>退職金</x:v>
      </x:c>
      <x:c r="Q36" s="14" t="str"/>
    </x:row>
    <x:row r="37" ht="48" customHeight="1">
      <x:c r="A37" s="16" t="n">
        <x:v>30</x:v>
      </x:c>
      <x:c r="B37" s="13" t="str">
        <x:v>TD-12</x:v>
      </x:c>
      <x:c r="C37" s="13" t="str">
        <x:v>個人で小さな会社を買う：スモールM&amp;Aの手順と契約前の確認事項</x:v>
      </x:c>
      <x:c r="D37" s="13" t="str">
        <x:v>独立する</x:v>
      </x:c>
      <x:c r="E37" s="13" t="str">
        <x:f>N37&amp;IF(O37="",""," / "&amp;O37)&amp;IF(P37="",""," / "&amp;P37)&amp;IF(Q37="",""," / "&amp;Q37)</x:f>
        <x:v>スモールM&amp;A / 退職金 / 個人事業主</x:v>
      </x:c>
      <x:c r="F37" s="13" t="str">
        <x:v>低</x:v>
      </x:c>
      <x:c r="G37" s="13" t="str">
        <x:v>W3：4〜6か月</x:v>
      </x:c>
      <x:c r="H37" s="13" t="str"/>
      <x:c r="I37" s="13" t="str">
        <x:v>個人 スモールM&amp;A 注意点</x:v>
      </x:c>
      <x:c r="J37" s="13" t="str">
        <x:v>知る</x:v>
      </x:c>
      <x:c r="K37" s="13" t="str">
        <x:v>S3：契約前</x:v>
      </x:c>
      <x:c r="L37" s="17" t="str">
        <x:v>未着手</x:v>
      </x:c>
      <x:c r="M37" s="13" t="str">
        <x:v>small-business-acquisition</x:v>
      </x:c>
      <x:c r="N37" s="13" t="str">
        <x:v>スモールM&amp;A</x:v>
      </x:c>
      <x:c r="O37" s="13" t="str">
        <x:v>退職金</x:v>
      </x:c>
      <x:c r="P37" s="13" t="str">
        <x:v>個人事業主</x:v>
      </x:c>
      <x:c r="Q37" s="13" t="str"/>
    </x:row>
  </x:sheetData>
  <x:conditionalFormatting sqref="N8:Q37">
    <x:cfRule type="expression" dxfId="0" priority="1">
      <x:formula>AND(N8&lt;&gt;"",COUNTIFS($N8:$Q8,N8)&gt;1)</x:formula>
    </x:cfRule>
  </x:conditionalFormatting>
  <x:conditionalFormatting sqref="L8:L37">
    <x:cfRule type="containsText" dxfId="1" priority="2" operator="containsText" text="調査待ち"/>
    <x:cfRule type="containsText" dxfId="2" priority="3" operator="containsText" text="公開済み"/>
  </x:conditionalFormatting>
  <x:dataValidations count="4">
    <x:dataValidation type="list" sqref="N8:Q37">
      <x:formula1>"早期退職,役職定年,顧問,業務委託,スポットコンサル,フリーコンサル,副業,フランチャイズ,スモールM&amp;A,個人事業主,市場価値,転職サービス,職務経歴書,収入・年収,退職金,住宅ローン,クレジットカード,事業用口座,失業給付,健康保険,年金,企業型DC・iDeCo,税金・申告"</x:formula1>
    </x:dataValidation>
    <x:dataValidation type="list" sqref="D8:D37">
      <x:formula1>"独立と転職を比べる,独立する,転職する,移る前の準備,退職後の手続き"</x:formula1>
    </x:dataValidation>
    <x:dataValidation type="list" sqref="L8:L37">
      <x:formula1>"未着手,調査待ち,執筆中,一次情報確認中,公開準備,公開済み,見直し中"</x:formula1>
    </x:dataValidation>
    <x:dataValidation type="list" sqref="F8:F37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d9972bfa3d435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9.5" hidden="0" customWidth="1"/>
    <x:col min="2" max="2" width="40" hidden="0" customWidth="1"/>
    <x:col min="3" max="3" width="42.5" hidden="0" customWidth="1"/>
    <x:col min="4" max="4" width="43.75" hidden="0" customWidth="1"/>
    <x:col min="5" max="5" width="44.380001068115234" hidden="0" customWidth="1"/>
    <x:col min="6" max="6" width="10.630000114440918" hidden="0" customWidth="1"/>
    <x:col min="7" max="7" width="17.5" hidden="0" customWidth="1"/>
    <x:col min="8" max="8" width="42.5" hidden="0" customWidth="1"/>
    <x:col min="9" max="9" width="56.25" hidden="0" customWidth="1"/>
    <x:col min="10" max="10" width="13.75" hidden="0" customWidth="1"/>
    <x:col min="11" max="11" width="46.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各記事の問い・論点・公開前の確認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2" t="str">
        <x:v>記事IDで記事管理と照合。主導線1件と別ルート2件は公開済み記事だけ表示。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 t="str">
        <x:v>重点確認は制度・契約・金融の記事。対象、一次情報、確認日、担当、次回確認期限を記録。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5" t="str">
        <x:v>元資料：独立か、転職か。 企画書 v2.2.md（§6・8・9・13）。設計日：2026-10-12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</x:row>
    <x:row r="7" ht="32" customHeight="1">
      <x:c r="A7" s="10" t="str">
        <x:v>記事ID</x:v>
      </x:c>
      <x:c r="B7" s="11" t="str">
        <x:v>読者の問い</x:v>
      </x:c>
      <x:c r="C7" s="11" t="str">
        <x:v>独自の論点</x:v>
      </x:c>
      <x:c r="D7" s="11" t="str">
        <x:v>見出し案</x:v>
      </x:c>
      <x:c r="E7" s="11" t="str">
        <x:v>扱う範囲の限界</x:v>
      </x:c>
      <x:c r="F7" s="11" t="str">
        <x:v>次に読む</x:v>
      </x:c>
      <x:c r="G7" s="11" t="str">
        <x:v>別ルート</x:v>
      </x:c>
      <x:c r="H7" s="11" t="str">
        <x:v>送客候補（未提携）</x:v>
      </x:c>
      <x:c r="I7" s="11" t="str">
        <x:v>公開前の確認</x:v>
      </x:c>
      <x:c r="J7" s="11" t="str">
        <x:v>確認区分</x:v>
      </x:c>
      <x:c r="K7" s="12" t="str">
        <x:v>編集メモ</x:v>
      </x:c>
    </x:row>
    <x:row r="8" ht="64" customHeight="1">
      <x:c r="A8" s="14" t="str">
        <x:v>TD-01</x:v>
      </x:c>
      <x:c r="B8" s="14" t="str">
        <x:v>会社を離れたあと、独立と転職をどう比べればよいか</x:v>
      </x:c>
      <x:c r="C8" s="14" t="str">
        <x:v>1年目の収入見込み、安定、準備期間、必要資金、60歳以降を共通軸で比較</x:v>
      </x:c>
      <x:c r="D8" s="14" t="str">
        <x:v>比較する5つの軸／同じ経験を独立と転職で使う／決める前に確認すること</x:v>
      </x:c>
      <x:c r="E8" s="14" t="str">
        <x:v>退職そのものの是非、個人への適職判定、収入の保証は扱わない</x:v>
      </x:c>
      <x:c r="F8" s="14" t="str">
        <x:v>TD-02</x:v>
      </x:c>
      <x:c r="G8" s="14" t="str">
        <x:v>TD-06 / TD-14</x:v>
      </x:c>
      <x:c r="H8" s="14" t="str">
        <x:v>転職サービス／顧問・プロ人材登録（提携確認後）</x:v>
      </x:c>
      <x:c r="I8" s="14" t="str">
        <x:v>公的な就業統計と掲載条件。推計は前提と幅を示す</x:v>
      </x:c>
      <x:c r="J8" s="14" t="str">
        <x:v>重点確認</x:v>
      </x:c>
      <x:c r="K8" s="14" t="str">
        <x:v>本文にTD-19への固定リンクを置く</x:v>
      </x:c>
    </x:row>
    <x:row r="9" ht="64" customHeight="1">
      <x:c r="A9" s="13" t="str">
        <x:v>TD-02</x:v>
      </x:c>
      <x:c r="B9" s="13" t="str">
        <x:v>自分の経験に会社の外で需要があるか確かめたい</x:v>
      </x:c>
      <x:c r="C9" s="13" t="str">
        <x:v>求人の反応と顧問案件の反応を並べ、登録数ではなく経験の需要を見る</x:v>
      </x:c>
      <x:c r="D9" s="13" t="str">
        <x:v>経験の棚卸し／求人・顧問案件の確認／反応を比較する記録</x:v>
      </x:c>
      <x:c r="E9" s="13" t="str">
        <x:v>年収査定や採用・案件獲得の保証はしない</x:v>
      </x:c>
      <x:c r="F9" s="13" t="str">
        <x:v>TD-15</x:v>
      </x:c>
      <x:c r="G9" s="13" t="str">
        <x:v>TD-08 / TD-17</x:v>
      </x:c>
      <x:c r="H9" s="13" t="str">
        <x:v>転職サービス／顧問・プロ人材登録（提携確認後）</x:v>
      </x:c>
      <x:c r="I9" s="13" t="str">
        <x:v>各サービスの登録対象、対象職種、費用、公開プロフィール条件</x:v>
      </x:c>
      <x:c r="J9" s="13" t="str">
        <x:v>通常確認</x:v>
      </x:c>
      <x:c r="K9" s="13" t="str"/>
    </x:row>
    <x:row r="10" ht="64" customHeight="1">
      <x:c r="A10" s="14" t="str">
        <x:v>TD-03</x:v>
      </x:c>
      <x:c r="B10" s="14" t="str">
        <x:v>独立するなら、どの形で経験を仕事にできるか</x:v>
      </x:c>
      <x:c r="C10" s="14" t="str">
        <x:v>初期費用・継続収入・顧客獲得・撤退のしやすさを同じ基準で比較</x:v>
      </x:c>
      <x:c r="D10" s="14" t="str">
        <x:v>経験から提供する仕事を選ぶ／5つの形を比較／小さく試す順序</x:v>
      </x:c>
      <x:c r="E10" s="14" t="str">
        <x:v>特定の加盟・買収・投資を勧めず、採算を断定しない</x:v>
      </x:c>
      <x:c r="F10" s="14" t="str">
        <x:v>TD-08</x:v>
      </x:c>
      <x:c r="G10" s="14" t="str">
        <x:v>TD-07 / TD-11</x:v>
      </x:c>
      <x:c r="H10" s="14" t="str">
        <x:v>顧問・プロ人材登録を主導線。FCはTD-11で確認後</x:v>
      </x:c>
      <x:c r="I10" s="14" t="str">
        <x:v>契約・料金・費用の公式条件。相場の根拠と掲載時点</x:v>
      </x:c>
      <x:c r="J10" s="14" t="str">
        <x:v>重点確認</x:v>
      </x:c>
      <x:c r="K10" s="14" t="str">
        <x:v>TD-12は比較表から補足リンク</x:v>
      </x:c>
    </x:row>
    <x:row r="11" ht="64" customHeight="1">
      <x:c r="A11" s="13" t="str">
        <x:v>TD-04</x:v>
      </x:c>
      <x:c r="B11" s="13" t="str">
        <x:v>一度に独立か転職かを決め切らずに進められるか</x:v>
      </x:c>
      <x:c r="C11" s="13" t="str">
        <x:v>在職・転職後・委託開始の順序ごとに確認事項を分ける</x:v>
      </x:c>
      <x:c r="D11" s="13" t="str">
        <x:v>組み合わせのパターン／就業規則と契約を確認／小さく試した後の見直し</x:v>
      </x:c>
      <x:c r="E11" s="13" t="str">
        <x:v>副業の許可や契約の適法性を個別判定しない</x:v>
      </x:c>
      <x:c r="F11" s="13" t="str">
        <x:v>TD-09</x:v>
      </x:c>
      <x:c r="G11" s="13" t="str">
        <x:v>TD-07 / TD-14</x:v>
      </x:c>
      <x:c r="H11" s="13" t="str">
        <x:v>転職サービス／スポットコンサル（案件確認後）</x:v>
      </x:c>
      <x:c r="I11" s="13" t="str">
        <x:v>勤務先の副業規定、秘密保持・競業条件、登録サービス規約</x:v>
      </x:c>
      <x:c r="J11" s="13" t="str">
        <x:v>通常確認</x:v>
      </x:c>
      <x:c r="K11" s="13" t="str"/>
    </x:row>
    <x:row r="12" ht="64" customHeight="1">
      <x:c r="A12" s="14" t="str">
        <x:v>TD-05</x:v>
      </x:c>
      <x:c r="B12" s="14" t="str">
        <x:v>実際に選んだ人は何を重視したのか</x:v>
      </x:c>
      <x:c r="C12" s="14" t="str">
        <x:v>両方の選択を同じ質問で収集し、選択理由と不安を比較</x:v>
      </x:c>
      <x:c r="D12" s="14" t="str">
        <x:v>調査の方法と回答者／選択理由／選んだ後の違い</x:v>
      </x:c>
      <x:c r="E12" s="14" t="str">
        <x:v>30人目標の小規模調査。母集団の代表値や一般的成功率にしない</x:v>
      </x:c>
      <x:c r="F12" s="14" t="str">
        <x:v>TD-01</x:v>
      </x:c>
      <x:c r="G12" s="14" t="str">
        <x:v>TD-06 / TD-14</x:v>
      </x:c>
      <x:c r="H12" s="14" t="str">
        <x:v>原則なし。比較・準備記事へ案内</x:v>
      </x:c>
      <x:c r="I12" s="14" t="str">
        <x:v>実施期間、対象条件、募集方法、有効回答数、集計方法、引用許諾</x:v>
      </x:c>
      <x:c r="J12" s="14" t="str">
        <x:v>通常確認</x:v>
      </x:c>
      <x:c r="K12" s="14" t="str">
        <x:v>調査実施前は非公開。実績に応じタイトルに【アンケート】を付ける</x:v>
      </x:c>
    </x:row>
    <x:row r="13" ht="64" customHeight="1">
      <x:c r="A13" s="13" t="str">
        <x:v>TD-06</x:v>
      </x:c>
      <x:c r="B13" s="13" t="str">
        <x:v>独立の準備を、何からどの順番で進めるか</x:v>
      </x:c>
      <x:c r="C13" s="13" t="str">
        <x:v>経験を売る形に絞り、取引先確認から契約・開業・記録までをつなぐ</x:v>
      </x:c>
      <x:c r="D13" s="13" t="str">
        <x:v>最初の仕事を考える／退職前の確認／開業後1年の運営</x:v>
      </x:c>
      <x:c r="E13" s="13" t="str">
        <x:v>許認可業種、法人設立、事業計画の採算保証は対象外</x:v>
      </x:c>
      <x:c r="F13" s="13" t="str">
        <x:v>TD-07</x:v>
      </x:c>
      <x:c r="G13" s="13" t="str">
        <x:v>TD-08 / TD-13</x:v>
      </x:c>
      <x:c r="H13" s="13" t="str">
        <x:v>顧問・プロ人材登録／会計ソフト（提携確認後）</x:v>
      </x:c>
      <x:c r="I13" s="13" t="str">
        <x:v>手順に出る各制度・契約条件は詳説記事の一次情報と整合</x:v>
      </x:c>
      <x:c r="J13" s="13" t="str">
        <x:v>通常確認</x:v>
      </x:c>
      <x:c r="K13" s="13" t="str">
        <x:v>本文にTD-19への固定リンク。制度部分は個別に確認</x:v>
      </x:c>
    </x:row>
    <x:row r="14" ht="64" customHeight="1">
      <x:c r="A14" s="14" t="str">
        <x:v>TD-07</x:v>
      </x:c>
      <x:c r="B14" s="14" t="str">
        <x:v>元勤務先を最初の取引先にできるか</x:v>
      </x:c>
      <x:c r="C14" s="14" t="str">
        <x:v>契約形態、仕事の範囲、報酬、解約、取引先依存を具体的に確認</x:v>
      </x:c>
      <x:c r="D14" s="14" t="str">
        <x:v>提供する業務を整理／交渉で確認する項目／契約と依存の見直し</x:v>
      </x:c>
      <x:c r="E14" s="14" t="str">
        <x:v>個別契約の法律判断や70歳就業確保措置の50代への当然の適用はしない</x:v>
      </x:c>
      <x:c r="F14" s="14" t="str">
        <x:v>TD-13</x:v>
      </x:c>
      <x:c r="G14" s="14" t="str">
        <x:v>TD-08 / TD-22</x:v>
      </x:c>
      <x:c r="H14" s="14" t="str">
        <x:v>原則なし。必要に応じ会計ソフトの条件確認へ</x:v>
      </x:c>
      <x:c r="I14" s="14" t="str">
        <x:v>厚労省・公取委の業務委託関連案内、元勤務先の規定。70歳施策と別の契約を区別</x:v>
      </x:c>
      <x:c r="J14" s="14" t="str">
        <x:v>重点確認</x:v>
      </x:c>
      <x:c r="K14" s="14" t="str"/>
    </x:row>
    <x:row r="15" ht="64" customHeight="1">
      <x:c r="A15" s="13" t="str">
        <x:v>TD-08</x:v>
      </x:c>
      <x:c r="B15" s="13" t="str">
        <x:v>顧問登録サービスの違いと、自分が提供できる仕事を知りたい</x:v>
      </x:c>
      <x:c r="C15" s="13" t="str">
        <x:v>対象分野・登録条件・契約主体・報酬・支払を比較し、登録後の流れまで示す</x:v>
      </x:c>
      <x:c r="D15" s="13" t="str">
        <x:v>顧問業務を言語化／登録先の比較／面談と契約の確認</x:v>
      </x:c>
      <x:c r="E15" s="13" t="str">
        <x:v>未確認の案件数・単価・採用率、報酬順ランキングは使わない</x:v>
      </x:c>
      <x:c r="F15" s="13" t="str">
        <x:v>TD-02</x:v>
      </x:c>
      <x:c r="G15" s="13" t="str">
        <x:v>TD-07 / TD-09</x:v>
      </x:c>
      <x:c r="H15" s="13" t="str">
        <x:v>顧問・プロ人材登録（提携可否未確認）</x:v>
      </x:c>
      <x:c r="I15" s="13" t="str">
        <x:v>提供各社の対象者・料金・契約・支払条件。広告提携の有無を別途確認</x:v>
      </x:c>
      <x:c r="J15" s="13" t="str">
        <x:v>通常確認</x:v>
      </x:c>
      <x:c r="K15" s="13" t="str"/>
    </x:row>
    <x:row r="16" ht="64" customHeight="1">
      <x:c r="A16" s="14" t="str">
        <x:v>TD-09</x:v>
      </x:c>
      <x:c r="B16" s="14" t="str">
        <x:v>小さく仕事を試して、自分の経験への需要を知りたい</x:v>
      </x:c>
      <x:c r="C16" s="14" t="str">
        <x:v>副業・秘密保持・話せる情報の範囲を先に確認する</x:v>
      </x:c>
      <x:c r="D16" s="14" t="str">
        <x:v>話せる経験を棚卸し／勤務先と規約の確認／初回後の振り返り</x:v>
      </x:c>
      <x:c r="E16" s="14" t="str">
        <x:v>秘密情報の提供、副業許可の断定、継続収入の保証はしない</x:v>
      </x:c>
      <x:c r="F16" s="14" t="str">
        <x:v>TD-08</x:v>
      </x:c>
      <x:c r="G16" s="14" t="str">
        <x:v>TD-02 / TD-04</x:v>
      </x:c>
      <x:c r="H16" s="14" t="str">
        <x:v>スポットコンサル（提携確認後）</x:v>
      </x:c>
      <x:c r="I16" s="14" t="str">
        <x:v>提供各社の禁止事項・報酬条件・勤務先の副業規定</x:v>
      </x:c>
      <x:c r="J16" s="14" t="str">
        <x:v>通常確認</x:v>
      </x:c>
      <x:c r="K16" s="14" t="str"/>
    </x:row>
    <x:row r="17" ht="64" customHeight="1">
      <x:c r="A17" s="13" t="str">
        <x:v>TD-10</x:v>
      </x:c>
      <x:c r="B17" s="13" t="str">
        <x:v>管理職・専門職経験で、どんな案件を探せるか</x:v>
      </x:c>
      <x:c r="C17" s="13" t="str">
        <x:v>職種・専門領域・稼働日数・契約期間を分け、求人票の具体条件で確認</x:v>
      </x:c>
      <x:c r="D17" s="13" t="str">
        <x:v>経験と案件の対応／登録サービスの使い分け／稼働と契約の確認</x:v>
      </x:c>
      <x:c r="E17" s="13" t="str">
        <x:v>年齢だけで受注可否を断定せず、単価を保証しない</x:v>
      </x:c>
      <x:c r="F17" s="13" t="str">
        <x:v>TD-08</x:v>
      </x:c>
      <x:c r="G17" s="13" t="str">
        <x:v>TD-07 / TD-17</x:v>
      </x:c>
      <x:c r="H17" s="13" t="str">
        <x:v>フリーコンサル（提携確認後）</x:v>
      </x:c>
      <x:c r="I17" s="13" t="str">
        <x:v>公開案件の募集条件と掲載日、提供各社の規約・契約主体</x:v>
      </x:c>
      <x:c r="J17" s="13" t="str">
        <x:v>通常確認</x:v>
      </x:c>
      <x:c r="K17" s="13" t="str"/>
    </x:row>
    <x:row r="18" ht="64" customHeight="1">
      <x:c r="A18" s="14" t="str">
        <x:v>TD-11</x:v>
      </x:c>
      <x:c r="B18" s="14" t="str">
        <x:v>加盟前にどの費用・条件・撤退リスクを確認するか</x:v>
      </x:c>
      <x:c r="C18" s="14" t="str">
        <x:v>加盟金以外の総費用、収益モデルの前提、解約・違約金を確認</x:v>
      </x:c>
      <x:c r="D18" s="14" t="str">
        <x:v>総費用と運転資金／契約前の質問／撤退条件と確認窓口</x:v>
      </x:c>
      <x:c r="E18" s="14" t="str">
        <x:v>加盟を後押しせず、想定利益を保証しない</x:v>
      </x:c>
      <x:c r="F18" s="14" t="str">
        <x:v>TD-19</x:v>
      </x:c>
      <x:c r="G18" s="14" t="str">
        <x:v>TD-03 / TD-25</x:v>
      </x:c>
      <x:c r="H18" s="14" t="str">
        <x:v>条件付きFC比較資料請求。注意事項の後に配置</x:v>
      </x:c>
      <x:c r="I18" s="14" t="str">
        <x:v>公取委のFC関連指針、各本部の契約・開示資料、相談窓口</x:v>
      </x:c>
      <x:c r="J18" s="14" t="str">
        <x:v>重点確認</x:v>
      </x:c>
      <x:c r="K18" s="14" t="str">
        <x:v>公式資料のみでも成立させ、資料請求を必須にしない</x:v>
      </x:c>
    </x:row>
    <x:row r="19" ht="64" customHeight="1">
      <x:c r="A19" s="13" t="str">
        <x:v>TD-12</x:v>
      </x:c>
      <x:c r="B19" s="13" t="str">
        <x:v>買収も独立の選択肢になるか、何を確認するか</x:v>
      </x:c>
      <x:c r="C19" s="13" t="str">
        <x:v>取得代金以外の負債・運転資金・仲介手数料・引継ぎを整理</x:v>
      </x:c>
      <x:c r="D19" s="13" t="str">
        <x:v>事業購入の流れ／買収前に確かめる情報／専門家へ確認する項目</x:v>
      </x:c>
      <x:c r="E19" s="13" t="str">
        <x:v>企業価値の算定、個別案件の推奨、法務・税務判断は行わない</x:v>
      </x:c>
      <x:c r="F19" s="13" t="str">
        <x:v>TD-19</x:v>
      </x:c>
      <x:c r="G19" s="13" t="str">
        <x:v>TD-03 / TD-25</x:v>
      </x:c>
      <x:c r="H19" s="13" t="str">
        <x:v>M&amp;Aマッチング（提携・広告表現確認後）</x:v>
      </x:c>
      <x:c r="I19" s="13" t="str">
        <x:v>中小企業庁のM&amp;A関連ガイド、仲介・マッチングの料金と規約</x:v>
      </x:c>
      <x:c r="J19" s="13" t="str">
        <x:v>重点確認</x:v>
      </x:c>
      <x:c r="K19" s="13" t="str"/>
    </x:row>
    <x:row r="20" ht="64" customHeight="1">
      <x:c r="A20" s="14" t="str">
        <x:v>TD-13</x:v>
      </x:c>
      <x:c r="B20" s="14" t="str">
        <x:v>開業に伴う届出と会計の準備をどう進めるか</x:v>
      </x:c>
      <x:c r="C20" s="14" t="str">
        <x:v>開業届と青色申告の期限を分け、記録開始・口座・ソフトにつなぐ</x:v>
      </x:c>
      <x:c r="D20" s="14" t="str">
        <x:v>届出の対象と提出先／開業日別の期限／日々の記録とソフト</x:v>
      </x:c>
      <x:c r="E20" s="14" t="str">
        <x:v>個人の税額・節税効果を計算せず、申告方法を個別判断しない</x:v>
      </x:c>
      <x:c r="F20" s="14" t="str">
        <x:v>TD-26</x:v>
      </x:c>
      <x:c r="G20" s="14" t="str">
        <x:v>TD-24 / TD-30</x:v>
      </x:c>
      <x:c r="H20" s="14" t="str">
        <x:v>会計ソフト（提携確認後）</x:v>
      </x:c>
      <x:c r="I20" s="14" t="str">
        <x:v>国税庁No.2090、提出様式、ソフト公式料金。2026年の開業届期限変更を反映</x:v>
      </x:c>
      <x:c r="J20" s="14" t="str">
        <x:v>重点確認</x:v>
      </x:c>
      <x:c r="K20" s="14" t="str"/>
    </x:row>
    <x:row r="21" ht="64" customHeight="1">
      <x:c r="A21" s="13" t="str">
        <x:v>TD-14</x:v>
      </x:c>
      <x:c r="B21" s="13" t="str">
        <x:v>次の会社を探す活動をどの順番で進めるか</x:v>
      </x:c>
      <x:c r="C21" s="13" t="str">
        <x:v>在職中・離職後・入社までを分け、独立との比較にも戻れる導線を置く</x:v>
      </x:c>
      <x:c r="D21" s="13" t="str">
        <x:v>職務経歴の整理／サービス選びと応募／入社条件と空白期間</x:v>
      </x:c>
      <x:c r="E21" s="13" t="str">
        <x:v>採用保証、年齢による一律評価、辞める是非は扱わない</x:v>
      </x:c>
      <x:c r="F21" s="13" t="str">
        <x:v>TD-15</x:v>
      </x:c>
      <x:c r="G21" s="13" t="str">
        <x:v>TD-17 / TD-18</x:v>
      </x:c>
      <x:c r="H21" s="13" t="str">
        <x:v>転職サービス（提携確認後）</x:v>
      </x:c>
      <x:c r="I21" s="13" t="str">
        <x:v>就業統計・各社対象職種・登録条件。雇用保険は詳説記事へ</x:v>
      </x:c>
      <x:c r="J21" s="13" t="str">
        <x:v>通常確認</x:v>
      </x:c>
      <x:c r="K21" s="13" t="str">
        <x:v>本文にTD-19への固定リンク</x:v>
      </x:c>
    </x:row>
    <x:row r="22" ht="64" customHeight="1">
      <x:c r="A22" s="14" t="str">
        <x:v>TD-15</x:v>
      </x:c>
      <x:c r="B22" s="14" t="str">
        <x:v>どの転職サービスを、何の目的で利用するか</x:v>
      </x:c>
      <x:c r="C22" s="14" t="str">
        <x:v>管理職・専門職・業種・担当者支援・費用を共通軸で比較</x:v>
      </x:c>
      <x:c r="D22" s="14" t="str">
        <x:v>2つの型の違い／公開条件の比較／併用と登録前の確認</x:v>
      </x:c>
      <x:c r="E22" s="14" t="str">
        <x:v>No.1・採用成功率・掲載されていない非公開条件を断定しない</x:v>
      </x:c>
      <x:c r="F22" s="14" t="str">
        <x:v>TD-16</x:v>
      </x:c>
      <x:c r="G22" s="14" t="str">
        <x:v>TD-17 / TD-02</x:v>
      </x:c>
      <x:c r="H22" s="14" t="str">
        <x:v>転職サービス（提携確認後）</x:v>
      </x:c>
      <x:c r="I22" s="14" t="str">
        <x:v>各社公式の対象者・利用料金・公開範囲・退会方法。比較条件を記録</x:v>
      </x:c>
      <x:c r="J22" s="14" t="str">
        <x:v>通常確認</x:v>
      </x:c>
      <x:c r="K22" s="14" t="str"/>
    </x:row>
    <x:row r="23" ht="64" customHeight="1">
      <x:c r="A23" s="13" t="str">
        <x:v>TD-16</x:v>
      </x:c>
      <x:c r="B23" s="13" t="str">
        <x:v>在職中にスカウトの反応を確認するにはどう準備するか</x:v>
      </x:c>
      <x:c r="C23" s="13" t="str">
        <x:v>プロフィールの公開範囲と反応の記録を先に整理する</x:v>
      </x:c>
      <x:c r="D23" s="13" t="str">
        <x:v>公開設定と職務経歴／届いた提案の比較／反応が薄い時の見直し</x:v>
      </x:c>
      <x:c r="E23" s="13" t="str">
        <x:v>スカウト数を市場価値や採用確率と同一視しない</x:v>
      </x:c>
      <x:c r="F23" s="13" t="str">
        <x:v>TD-17</x:v>
      </x:c>
      <x:c r="G23" s="13" t="str">
        <x:v>TD-15 / TD-02</x:v>
      </x:c>
      <x:c r="H23" s="13" t="str">
        <x:v>スカウト型転職サービス（提携確認後）</x:v>
      </x:c>
      <x:c r="I23" s="13" t="str">
        <x:v>各社の公開設定・企業ブロック・課金条件・求人票の扱い</x:v>
      </x:c>
      <x:c r="J23" s="13" t="str">
        <x:v>通常確認</x:v>
      </x:c>
      <x:c r="K23" s="13" t="str"/>
    </x:row>
    <x:row r="24" ht="64" customHeight="1">
      <x:c r="A24" s="14" t="str">
        <x:v>TD-17</x:v>
      </x:c>
      <x:c r="B24" s="14" t="str">
        <x:v>肩書き中心の職歴をどう書き換えるか</x:v>
      </x:c>
      <x:c r="C24" s="14" t="str">
        <x:v>人数・規模・課題・役割・成果を整理し、顧問プロフィールにも応用</x:v>
      </x:c>
      <x:c r="D24" s="14" t="str">
        <x:v>管理職実績の棚卸し／職務経歴書の構成／守秘と数字の書き方</x:v>
      </x:c>
      <x:c r="E24" s="14" t="str">
        <x:v>実績の捏造や機密情報の掲載を勧めない</x:v>
      </x:c>
      <x:c r="F24" s="14" t="str">
        <x:v>TD-16</x:v>
      </x:c>
      <x:c r="G24" s="14" t="str">
        <x:v>TD-08 / TD-15</x:v>
      </x:c>
      <x:c r="H24" s="14" t="str">
        <x:v>必要時だけ転職サービスへ</x:v>
      </x:c>
      <x:c r="I24" s="14" t="str">
        <x:v>公的な職務経歴書作成支援、各社の提出形式。例は架空と明示</x:v>
      </x:c>
      <x:c r="J24" s="14" t="str">
        <x:v>通常確認</x:v>
      </x:c>
      <x:c r="K24" s="14" t="str"/>
    </x:row>
    <x:row r="25" ht="64" customHeight="1">
      <x:c r="A25" s="13" t="str">
        <x:v>TD-18</x:v>
      </x:c>
      <x:c r="B25" s="13" t="str">
        <x:v>元の年収と求人の提示条件をどう比べるか</x:v>
      </x:c>
      <x:c r="C25" s="13" t="str">
        <x:v>基本給・賞与・手当・契約期間を分け、50代管理職の一律平均で断定しない</x:v>
      </x:c>
      <x:c r="D25" s="13" t="str">
        <x:v>公開統計と求人の読み方／報酬条件の比較／家計へのつなぎ方</x:v>
      </x:c>
      <x:c r="E25" s="13" t="str">
        <x:v>個人の年収予測や手取り額・税額の保証はしない</x:v>
      </x:c>
      <x:c r="F25" s="13" t="str">
        <x:v>TD-25</x:v>
      </x:c>
      <x:c r="G25" s="13" t="str">
        <x:v>TD-01 / TD-15</x:v>
      </x:c>
      <x:c r="H25" s="13" t="str">
        <x:v>転職サービス（提携確認後）</x:v>
      </x:c>
      <x:c r="I25" s="13" t="str">
        <x:v>公的賃金統計の年齢・役職・対象範囲、求人の提示条件と掲載日</x:v>
      </x:c>
      <x:c r="J25" s="13" t="str">
        <x:v>通常確認</x:v>
      </x:c>
      <x:c r="K25" s="13" t="str"/>
    </x:row>
    <x:row r="26" ht="64" customHeight="1">
      <x:c r="A26" s="14" t="str">
        <x:v>TD-19</x:v>
      </x:c>
      <x:c r="B26" s="14" t="str">
        <x:v>退職後の仕事や資金の勧誘で、何を確認すべきか</x:v>
      </x:c>
      <x:c r="C26" s="14" t="str">
        <x:v>初期費用・成果保証・急がせる勧誘・解約条件・無料の公的窓口を整理</x:v>
      </x:c>
      <x:c r="D26" s="14" t="str">
        <x:v>契約前の確認項目／よくある説明の確認方法／相談先と次の準備</x:v>
      </x:c>
      <x:c r="E26" s="14" t="str">
        <x:v>個別事業者を根拠なく不正と断定しない。勧誘商品の推奨はしない</x:v>
      </x:c>
      <x:c r="F26" s="14" t="str">
        <x:v>TD-25</x:v>
      </x:c>
      <x:c r="G26" s="14" t="str">
        <x:v>TD-11 / TD-12</x:v>
      </x:c>
      <x:c r="H26" s="14" t="str">
        <x:v>広告なし。公的な相談窓口と確認記事へ</x:v>
      </x:c>
      <x:c r="I26" s="14" t="str">
        <x:v>消費者庁・国民生活センター・公取委・厚労省の公式注意喚起</x:v>
      </x:c>
      <x:c r="J26" s="14" t="str">
        <x:v>重点確認</x:v>
      </x:c>
      <x:c r="K26" s="14" t="str">
        <x:v>原企画CからAへ移動。ブランドの柱として中から高へ。A/B/Cハブからリンク</x:v>
      </x:c>
    </x:row>
    <x:row r="27" ht="64" customHeight="1">
      <x:c r="A27" s="13" t="str">
        <x:v>TD-20</x:v>
      </x:c>
      <x:c r="B27" s="13" t="str">
        <x:v>退職前の確認を何から進めるか</x:v>
      </x:c>
      <x:c r="C27" s="13" t="str">
        <x:v>独立・転職・未定で共通と個別を分け、推奨時期と制度期限を区別</x:v>
      </x:c>
      <x:c r="D27" s="13" t="str">
        <x:v>人事と確認すること／金融と生活の確認／次の働き方別の準備</x:v>
      </x:c>
      <x:c r="E27" s="13" t="str">
        <x:v>ローン・カードを全員に作成・借り換え推奨しない</x:v>
      </x:c>
      <x:c r="F27" s="13" t="str">
        <x:v>TD-26</x:v>
      </x:c>
      <x:c r="G27" s="13" t="str">
        <x:v>TD-21 / TD-25</x:v>
      </x:c>
      <x:c r="H27" s="13" t="str">
        <x:v>必要な読者のみローン・カード・銀行の条件確認へ</x:v>
      </x:c>
      <x:c r="I27" s="13" t="str">
        <x:v>人事の書類、金融機関の条件、制度は各詳説の一次情報</x:v>
      </x:c>
      <x:c r="J27" s="13" t="str">
        <x:v>重点確認</x:v>
      </x:c>
      <x:c r="K27" s="13" t="str"/>
    </x:row>
    <x:row r="28" ht="64" customHeight="1">
      <x:c r="A28" s="14" t="str">
        <x:v>TD-21</x:v>
      </x:c>
      <x:c r="B28" s="14" t="str">
        <x:v>会社の説明と離職票の理由をどう確認するか</x:v>
      </x:c>
      <x:c r="C28" s="14" t="str">
        <x:v>恒常的な制度と人員整理の募集を分け、年齢・加入期間・理由を条件表で示す</x:v>
      </x:c>
      <x:c r="D28" s="14" t="str">
        <x:v>離職理由を確かめる／給付日数の条件／離職票と窓口への確認</x:v>
      </x:c>
      <x:c r="E28" s="14" t="str">
        <x:v>会社の説明だけで受給資格や最大日数を断定しない</x:v>
      </x:c>
      <x:c r="F28" s="14" t="str">
        <x:v>TD-22</x:v>
      </x:c>
      <x:c r="G28" s="14" t="str">
        <x:v>TD-26 / TD-25</x:v>
      </x:c>
      <x:c r="H28" s="14" t="str">
        <x:v>広告なし。ハローワークへ</x:v>
      </x:c>
      <x:c r="I28" s="14" t="str">
        <x:v>ハローワークの特定受給資格者の範囲・所定給付日数、離職票、判定窓口</x:v>
      </x:c>
      <x:c r="J28" s="14" t="str">
        <x:v>重点確認</x:v>
      </x:c>
      <x:c r="K28" s="14" t="str">
        <x:v>原題の「最大330日」は一般条件のように見せず、根拠確認後に本文条件表へ</x:v>
      </x:c>
    </x:row>
    <x:row r="29" ht="64" customHeight="1">
      <x:c r="A29" s="13" t="str">
        <x:v>TD-22</x:v>
      </x:c>
      <x:c r="B29" s="13" t="str">
        <x:v>事業の準備や開始が給付の手続きにどう関わるか</x:v>
      </x:c>
      <x:c r="C29" s="13" t="str">
        <x:v>求職・事業準備・開始の時点と、基本手当・再就職手当・期間特例を分ける</x:v>
      </x:c>
      <x:c r="D29" s="13" t="str">
        <x:v>始める時点の確認／手当と特例の違い／事前に窓口へ聞くこと</x:v>
      </x:c>
      <x:c r="E29" s="13" t="str">
        <x:v>給付を受けるために事業開始を隠す助言や受給保証はしない</x:v>
      </x:c>
      <x:c r="F29" s="13" t="str">
        <x:v>TD-13</x:v>
      </x:c>
      <x:c r="G29" s="13" t="str">
        <x:v>TD-21 / TD-26</x:v>
      </x:c>
      <x:c r="H29" s="13" t="str">
        <x:v>広告なし。ハローワークへ</x:v>
      </x:c>
      <x:c r="I29" s="13" t="str">
        <x:v>厚労省の受給期間特例、再就職手当の支給要件・申請期限、窓口判断</x:v>
      </x:c>
      <x:c r="J29" s="13" t="str">
        <x:v>重点確認</x:v>
      </x:c>
      <x:c r="K29" s="13" t="str"/>
    </x:row>
    <x:row r="30" ht="64" customHeight="1">
      <x:c r="A30" s="14" t="str">
        <x:v>TD-23</x:v>
      </x:c>
      <x:c r="B30" s="14" t="str">
        <x:v>退職金を返済に使うか、手元に残すかを考えたい</x:v>
      </x:c>
      <x:c r="C30" s="14" t="str">
        <x:v>残債・諸費用・金利条件・生活費の余力・収入変化を別々に確認</x:v>
      </x:c>
      <x:c r="D30" s="14" t="str">
        <x:v>現在の契約を確認／返済と手元資金を比べる／金融機関への質問</x:v>
      </x:c>
      <x:c r="E30" s="14" t="str">
        <x:v>個人の損得や借り換え可能性を判定しない</x:v>
      </x:c>
      <x:c r="F30" s="14" t="str">
        <x:v>TD-25</x:v>
      </x:c>
      <x:c r="G30" s="14" t="str">
        <x:v>TD-20 / TD-01</x:v>
      </x:c>
      <x:c r="H30" s="14" t="str">
        <x:v>住宅ローン相談・借り換え（提携確認後）</x:v>
      </x:c>
      <x:c r="I30" s="14" t="str">
        <x:v>各金融機関の金利・手数料・審査条件・団信等。比較時点を記録</x:v>
      </x:c>
      <x:c r="J30" s="14" t="str">
        <x:v>重点確認</x:v>
      </x:c>
      <x:c r="K30" s="14" t="str"/>
    </x:row>
    <x:row r="31" ht="64" customHeight="1">
      <x:c r="A31" s="13" t="str">
        <x:v>TD-24</x:v>
      </x:c>
      <x:c r="B31" s="13" t="str">
        <x:v>仕事用のカード・口座をいつ、どの条件で用意するか</x:v>
      </x:c>
      <x:c r="C31" s="13" t="str">
        <x:v>申込可能時期と必要書類を区別し、在職中なら必ず作れると扱わない</x:v>
      </x:c>
      <x:c r="D31" s="13" t="str">
        <x:v>生活用と仕事用の分離／申込時期と条件／必要書類と比較</x:v>
      </x:c>
      <x:c r="E31" s="13" t="str">
        <x:v>審査通過・退職後の申込不可を保証・断定しない</x:v>
      </x:c>
      <x:c r="F31" s="13" t="str">
        <x:v>TD-13</x:v>
      </x:c>
      <x:c r="G31" s="13" t="str">
        <x:v>TD-20 / TD-25</x:v>
      </x:c>
      <x:c r="H31" s="13" t="str">
        <x:v>クレジットカード／ネット銀行（提携確認後）</x:v>
      </x:c>
      <x:c r="I31" s="13" t="str">
        <x:v>提供各社の申込条件・必要書類・手数料・開業前可否</x:v>
      </x:c>
      <x:c r="J31" s="13" t="str">
        <x:v>重点確認</x:v>
      </x:c>
      <x:c r="K31" s="13" t="str">
        <x:v>原題の「作っておく理由」を「確認する」に変更</x:v>
      </x:c>
    </x:row>
    <x:row r="32" ht="64" customHeight="1">
      <x:c r="A32" s="14" t="str">
        <x:v>TD-25</x:v>
      </x:c>
      <x:c r="B32" s="14" t="str">
        <x:v>収入が変わる期間の生活費をどう整理するか</x:v>
      </x:c>
      <x:c r="C32" s="14" t="str">
        <x:v>独立・転職それぞれの収入開始時期と、税・保険・ローンを時系列で整理</x:v>
      </x:c>
      <x:c r="D32" s="14" t="str">
        <x:v>手元資金と支出を棚卸し／収入開始までの期間／公的情報と確認窓口</x:v>
      </x:c>
      <x:c r="E32" s="14" t="str">
        <x:v>個人の税額や給付額、資産運用の利回りを算定・推奨しない</x:v>
      </x:c>
      <x:c r="F32" s="14" t="str">
        <x:v>TD-23</x:v>
      </x:c>
      <x:c r="G32" s="14" t="str">
        <x:v>TD-18 / TD-29</x:v>
      </x:c>
      <x:c r="H32" s="14" t="str">
        <x:v>原則なし。条件に応じローン記事へ</x:v>
      </x:c>
      <x:c r="I32" s="14" t="str">
        <x:v>国税庁・自治体・保険者の案内、実際のローン・生活費資料</x:v>
      </x:c>
      <x:c r="J32" s="14" t="str">
        <x:v>重点確認</x:v>
      </x:c>
      <x:c r="K32" s="14" t="str"/>
    </x:row>
    <x:row r="33" ht="64" customHeight="1">
      <x:c r="A33" s="13" t="str">
        <x:v>TD-26</x:v>
      </x:c>
      <x:c r="B33" s="13" t="str">
        <x:v>退職後の手続きを漏れなく確認したい</x:v>
      </x:c>
      <x:c r="C33" s="13" t="str">
        <x:v>次の働き方に加え、入社の空白・扶養・制度加入状況で分ける</x:v>
      </x:c>
      <x:c r="D33" s="13" t="str">
        <x:v>共通と働き方別の手続き／期限の起算日／移行カレンダーの使い方</x:v>
      </x:c>
      <x:c r="E33" s="13" t="str">
        <x:v>一律の期限・必要手続きを全員に当てはめない</x:v>
      </x:c>
      <x:c r="F33" s="13" t="str">
        <x:v>TD-27</x:v>
      </x:c>
      <x:c r="G33" s="13" t="str">
        <x:v>TD-28 / TD-30</x:v>
      </x:c>
      <x:c r="H33" s="13" t="str">
        <x:v>記事を確認してから移行カレンダーへ。制度窓口への案内</x:v>
      </x:c>
      <x:c r="I33" s="13" t="str">
        <x:v>各制度の公式期限・休日扱い・起算日・対象条件。未検証ルールは日付化しない</x:v>
      </x:c>
      <x:c r="J33" s="13" t="str">
        <x:v>重点確認</x:v>
      </x:c>
      <x:c r="K33" s="13" t="str">
        <x:v>開業届は2026年の期限変更を反映。TD-13/21/22/29へ本文リンク</x:v>
      </x:c>
    </x:row>
    <x:row r="34" ht="64" customHeight="1">
      <x:c r="A34" s="14" t="str">
        <x:v>TD-27</x:v>
      </x:c>
      <x:c r="B34" s="14" t="str">
        <x:v>独立や入社待ちの期間に、健康保険をどう確認するか</x:v>
      </x:c>
      <x:c r="C34" s="14" t="str">
        <x:v>保険者と自治体で違う条件を分け、短い空白期間も扱う</x:v>
      </x:c>
      <x:c r="D34" s="14" t="str">
        <x:v>3つの制度と対象／申請期限と保険料の確認／入社する場合の切替</x:v>
      </x:c>
      <x:c r="E34" s="14" t="str">
        <x:v>年収だけで最安の制度や扶養資格を決めない</x:v>
      </x:c>
      <x:c r="F34" s="14" t="str">
        <x:v>TD-26</x:v>
      </x:c>
      <x:c r="G34" s="14" t="str">
        <x:v>TD-28 / TD-25</x:v>
      </x:c>
      <x:c r="H34" s="14" t="str">
        <x:v>広告なし。保険者・自治体の公式窓口へ</x:v>
      </x:c>
      <x:c r="I34" s="14" t="str">
        <x:v>加入していた健保、自治体国保、家族の保険者の最新条件・期限</x:v>
      </x:c>
      <x:c r="J34" s="14" t="str">
        <x:v>重点確認</x:v>
      </x:c>
      <x:c r="K34" s="14" t="str"/>
    </x:row>
    <x:row r="35" ht="64" customHeight="1">
      <x:c r="A35" s="13" t="str">
        <x:v>TD-28</x:v>
      </x:c>
      <x:c r="B35" s="13" t="str">
        <x:v>本人と配偶者の年金手続きは誰が何を確認するか</x:v>
      </x:c>
      <x:c r="C35" s="13" t="str">
        <x:v>本人と配偶者を分け、入社日・被保険者区分の変化から手続きを整理</x:v>
      </x:c>
      <x:c r="D35" s="13" t="str">
        <x:v>本人の区分を確認／配偶者の区分を確認／期限と提出先</x:v>
      </x:c>
      <x:c r="E35" s="13" t="str">
        <x:v>個人の受給額、免除・区分の適用を断定しない</x:v>
      </x:c>
      <x:c r="F35" s="13" t="str">
        <x:v>TD-27</x:v>
      </x:c>
      <x:c r="G35" s="13" t="str">
        <x:v>TD-26 / TD-30</x:v>
      </x:c>
      <x:c r="H35" s="13" t="str">
        <x:v>広告なし。日本年金機構・自治体へ</x:v>
      </x:c>
      <x:c r="I35" s="13" t="str">
        <x:v>日本年金機構の区分変更・配偶者の届出、自治体窓口、加入日</x:v>
      </x:c>
      <x:c r="J35" s="13" t="str">
        <x:v>重点確認</x:v>
      </x:c>
      <x:c r="K35" s="13" t="str"/>
    </x:row>
    <x:row r="36" ht="64" customHeight="1">
      <x:c r="A36" s="14" t="str">
        <x:v>TD-29</x:v>
      </x:c>
      <x:c r="B36" s="14" t="str">
        <x:v>住民税と退職金の税務書類を、いつどこへ確認するか</x:v>
      </x:c>
      <x:c r="C36" s="14" t="str">
        <x:v>今払う住民税・翌年度の納付・退職所得の書類を別の時間軸で整理</x:v>
      </x:c>
      <x:c r="D36" s="14" t="str">
        <x:v>退職時に会社へ確認／翌年度の住民税／退職所得の書類と窓口</x:v>
      </x:c>
      <x:c r="E36" s="14" t="str">
        <x:v>個人の税額、受取方法の最適化、節税効果を判定しない</x:v>
      </x:c>
      <x:c r="F36" s="14" t="str">
        <x:v>TD-25</x:v>
      </x:c>
      <x:c r="G36" s="14" t="str">
        <x:v>TD-26 / TD-20</x:v>
      </x:c>
      <x:c r="H36" s="14" t="str">
        <x:v>広告なし。自治体・国税庁へ</x:v>
      </x:c>
      <x:c r="I36" s="14" t="str">
        <x:v>国税庁の退職所得の案内・申告書、自治体の特別徴収・普通徴収の案内</x:v>
      </x:c>
      <x:c r="J36" s="14" t="str">
        <x:v>重点確認</x:v>
      </x:c>
      <x:c r="K36" s="14" t="str">
        <x:v>E所属だが退職前の書類確認をDハブからも案内</x:v>
      </x:c>
    </x:row>
    <x:row r="37" ht="64" customHeight="1">
      <x:c r="A37" s="13" t="str">
        <x:v>TD-30</x:v>
      </x:c>
      <x:c r="B37" s="13" t="str">
        <x:v>企業型DCの資産をどこへ、いつまでに移すか</x:v>
      </x:c>
      <x:c r="C37" s="13" t="str">
        <x:v>転職先の企業型DC等・iDeCo・加入状況を確認し、口座選びと投資選びを分ける</x:v>
      </x:c>
      <x:c r="D37" s="13" t="str">
        <x:v>資格喪失日と移換先／手続きと書類／期限・自動移換の確認</x:v>
      </x:c>
      <x:c r="E37" s="13" t="str">
        <x:v>投資商品・配分・運用益を推奨しない</x:v>
      </x:c>
      <x:c r="F37" s="13" t="str">
        <x:v>TD-26</x:v>
      </x:c>
      <x:c r="G37" s="13" t="str">
        <x:v>TD-28 / TD-27</x:v>
      </x:c>
      <x:c r="H37" s="13" t="str">
        <x:v>iDeCo口座比較（提携・対象条件確認後）</x:v>
      </x:c>
      <x:c r="I37" s="13" t="str">
        <x:v>厚労省・iDeCo公式、勤務先と記録関連運営管理機関の起算日・移換先</x:v>
      </x:c>
      <x:c r="J37" s="13" t="str">
        <x:v>重点確認</x:v>
      </x:c>
      <x:c r="K37" s="13" t="str"/>
    </x:row>
  </x:sheetData>
  <x:pageMargins left="0.7" right="0.7" top="0.75" bottom="0.75" header="0.3" footer="0.3"/>
  <x:tableParts count="1">
    <x:tablePart xmlns:r="http://schemas.openxmlformats.org/officeDocument/2006/relationships" r:id="Rc964ef56911d455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.75" hidden="0" customWidth="1"/>
    <x:col min="2" max="2" width="25" hidden="0" customWidth="1"/>
    <x:col min="3" max="3" width="53.75" hidden="0" customWidth="1"/>
    <x:col min="4" max="4" width="57.5" hidden="0" customWidth="1"/>
    <x:col min="5" max="5" width="10.630000114440918" hidden="0" customWidth="1"/>
    <x:col min="6" max="6" width="11.25" hidden="0" customWidth="1"/>
    <x:col min="7" max="7" width="6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5カテゴリの役割と境界</x:v>
      </x:c>
      <x:c r="B2" s="3"/>
      <x:c r="C2" s="3"/>
      <x:c r="D2" s="3"/>
      <x:c r="E2" s="3"/>
      <x:c r="F2" s="3"/>
      <x:c r="G2" s="3"/>
    </x:row>
    <x:row r="3">
      <x:c r="A3" s="4"/>
      <x:c r="B3" s="4"/>
      <x:c r="C3" s="4"/>
      <x:c r="D3" s="4"/>
      <x:c r="E3" s="4"/>
      <x:c r="F3" s="4"/>
      <x:c r="G3" s="4"/>
    </x:row>
    <x:row r="4">
      <x:c r="A4" s="2" t="str">
        <x:v>TD-19をAへ移動。A6・B8・C5・D6・E5。記事数は記事管理から集計。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5" t="str">
        <x:v>元資料：独立か、転職か。 企画書 v2.2.md（§6・8・9・13）。設計日：2026-10-12</x:v>
      </x:c>
      <x:c r="B6" s="5"/>
      <x:c r="C6" s="5"/>
      <x:c r="D6" s="5"/>
      <x:c r="E6" s="5"/>
      <x:c r="F6" s="5"/>
      <x:c r="G6" s="5"/>
    </x:row>
    <x:row r="7" ht="32" customHeight="1">
      <x:c r="A7" s="10" t="str">
        <x:v>カテゴリID</x:v>
      </x:c>
      <x:c r="B7" s="11" t="str">
        <x:v>表示名</x:v>
      </x:c>
      <x:c r="C7" s="11" t="str">
        <x:v>説明・主な内容</x:v>
      </x:c>
      <x:c r="D7" s="11" t="str">
        <x:v>他カテゴリとの境界</x:v>
      </x:c>
      <x:c r="E7" s="11" t="str">
        <x:v>ハブ記事</x:v>
      </x:c>
      <x:c r="F7" s="11" t="str">
        <x:v>割当記事数</x:v>
      </x:c>
      <x:c r="G7" s="12" t="str">
        <x:v>確認・更新方針</x:v>
      </x:c>
    </x:row>
    <x:row r="8" ht="64" customHeight="1">
      <x:c r="A8" s="14" t="str">
        <x:v>compare</x:v>
      </x:c>
      <x:c r="B8" s="14" t="str">
        <x:v>独立と転職を比べる</x:v>
      </x:c>
      <x:c r="C8" s="14" t="str">
        <x:v>収入・安定・準備・60歳以降を同じ基準で比べ、選択に共通する判断材料と退職金を守る情報を整理する。</x:v>
      </x:c>
      <x:c r="D8" s="14" t="str">
        <x:v>個別の独立手順はB、転職の進め方はC、金融や給付の実務はD</x:v>
      </x:c>
      <x:c r="E8" s="14" t="str">
        <x:v>TD-01</x:v>
      </x:c>
      <x:c r="F8" s="20" t="n">
        <x:f>COUNTIFS('記事管理'!$D$8:$D$37,B8)</x:f>
        <x:v>6</x:v>
      </x:c>
      <x:c r="G8" s="14" t="str">
        <x:v>制度は1月・4月、相場・サービス情報は四半期、変更判明時は随時</x:v>
      </x:c>
    </x:row>
    <x:row r="9" ht="64" customHeight="1">
      <x:c r="A9" s="13" t="str">
        <x:v>independence</x:v>
      </x:c>
      <x:c r="B9" s="13" t="str">
        <x:v>独立する</x:v>
      </x:c>
      <x:c r="C9" s="13" t="str">
        <x:v>会社で積んだ経験を、顧問・業務委託・コンサルの仕事につなげ、開業までの準備を整理する。</x:v>
      </x:c>
      <x:c r="D9" s="13" t="str">
        <x:v>働き方全体の比較はA、退職に伴う保険・年金はE</x:v>
      </x:c>
      <x:c r="E9" s="13" t="str">
        <x:v>TD-06</x:v>
      </x:c>
      <x:c r="F9" s="21" t="n">
        <x:f>COUNTIFS('記事管理'!$D$8:$D$37,B9)</x:f>
        <x:v>8</x:v>
      </x:c>
      <x:c r="G9" s="13" t="str">
        <x:v>サービスは四半期、契約・税制は1月・4月、変更判明時は随時</x:v>
      </x:c>
    </x:row>
    <x:row r="10" ht="64" customHeight="1">
      <x:c r="A10" s="14" t="str">
        <x:v>career-change</x:v>
      </x:c>
      <x:c r="B10" s="14" t="str">
        <x:v>転職する</x:v>
      </x:c>
      <x:c r="C10" s="14" t="str">
        <x:v>50代の管理職・専門職が、職務経歴を整理し、求人やサービスを使って次の会社での働き方を探す。</x:v>
      </x:c>
      <x:c r="D10" s="14" t="str">
        <x:v>辞める是非・応募するかだけの相談、退職代行、一般的な若手転職論</x:v>
      </x:c>
      <x:c r="E10" s="14" t="str">
        <x:v>TD-14</x:v>
      </x:c>
      <x:c r="F10" s="20" t="n">
        <x:f>COUNTIFS('記事管理'!$D$8:$D$37,B10)</x:f>
        <x:v>5</x:v>
      </x:c>
      <x:c r="G10" s="14" t="str">
        <x:v>募集対象・サービス条件は四半期、比較記事は公開時と条件変更時</x:v>
      </x:c>
    </x:row>
    <x:row r="11" ht="64" customHeight="1">
      <x:c r="A11" s="13" t="str">
        <x:v>before-leaving</x:v>
      </x:c>
      <x:c r="B11" s="13" t="str">
        <x:v>移る前の準備</x:v>
      </x:c>
      <x:c r="C11" s="13" t="str">
        <x:v>住宅ローン・口座・生活費・雇用保険など、会社を離れる前に確認しておきたい事項を整理する。</x:v>
      </x:c>
      <x:c r="D11" s="13" t="str">
        <x:v>実際の退職後の健康保険・年金・DC・税の手続きはE</x:v>
      </x:c>
      <x:c r="E11" s="13" t="str">
        <x:v>TD-20</x:v>
      </x:c>
      <x:c r="F11" s="21" t="n">
        <x:f>COUNTIFS('記事管理'!$D$8:$D$37,B11)</x:f>
        <x:v>6</x:v>
      </x:c>
      <x:c r="G11" s="13" t="str">
        <x:v>一次情報・確認担当・確認日・次回期限を必須化。1月・4月と改正時に見直す</x:v>
      </x:c>
    </x:row>
    <x:row r="12" ht="64" customHeight="1">
      <x:c r="A12" s="14" t="str">
        <x:v>after-leaving</x:v>
      </x:c>
      <x:c r="B12" s="14" t="str">
        <x:v>退職後の手続き</x:v>
      </x:c>
      <x:c r="C12" s="14" t="str">
        <x:v>次の働き方と入社までの空白期間に応じて、健康保険・年金・税・企業型DCの手続きを整理する。</x:v>
      </x:c>
      <x:c r="D12" s="14" t="str">
        <x:v>開業届・青色申告の詳しい説明はB、失業給付の詳しい説明はD</x:v>
      </x:c>
      <x:c r="E12" s="14" t="str">
        <x:v>TD-26</x:v>
      </x:c>
      <x:c r="F12" s="20" t="n">
        <x:f>COUNTIFS('記事管理'!$D$8:$D$37,B12)</x:f>
        <x:v>5</x:v>
      </x:c>
      <x:c r="G12" s="14" t="str">
        <x:v>一次情報・確認担当・確認日・次回期限を必須化。1月・4月と改正時に見直す</x:v>
      </x:c>
    </x:row>
  </x:sheetData>
  <x:pageMargins left="0.7" right="0.7" top="0.75" bottom="0.75" header="0.3" footer="0.3"/>
  <x:tableParts count="1">
    <x:tablePart xmlns:r="http://schemas.openxmlformats.org/officeDocument/2006/relationships" r:id="R14315b5cc2dc4e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.75" hidden="0" customWidth="1"/>
    <x:col min="2" max="2" width="21.8799991607666" hidden="0" customWidth="1"/>
    <x:col min="3" max="3" width="15" hidden="0" customWidth="1"/>
    <x:col min="4" max="4" width="53.75" hidden="0" customWidth="1"/>
    <x:col min="5" max="5" width="35.630001068115234" hidden="0" customWidth="1"/>
    <x:col min="6" max="6" width="11.25" hidden="0" customWidth="1"/>
    <x:col min="7" max="7" width="56.25" hidden="0" customWidth="1"/>
    <x:col min="8" max="8" width="35.6300010681152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23タグの付与条件と別名</x:v>
      </x:c>
      <x:c r="B2" s="3"/>
      <x:c r="C2" s="3"/>
      <x:c r="D2" s="3"/>
      <x:c r="E2" s="3"/>
      <x:c r="F2" s="3"/>
      <x:c r="G2" s="3"/>
      <x:c r="H2" s="3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 t="str">
        <x:v>件数は企画への割当。公開0本は隠し、1〜2本のタグページは検索索引対象外。</x:v>
      </x:c>
      <x:c r="B4" s="2"/>
      <x:c r="C4" s="2"/>
      <x:c r="D4" s="2"/>
      <x:c r="E4" s="2"/>
      <x:c r="F4" s="2"/>
      <x:c r="G4" s="2"/>
      <x:c r="H4" s="2"/>
    </x:row>
    <x:row r="5">
      <x:c r="A5" s="2" t="str">
        <x:v>タグ変更は記事管理のタグ1〜4を編集。同じ行での重複は赤表示。記事ID列は設計時の記録。</x:v>
      </x:c>
      <x:c r="B5" s="2"/>
      <x:c r="C5" s="2"/>
      <x:c r="D5" s="2"/>
      <x:c r="E5" s="2"/>
      <x:c r="F5" s="2"/>
      <x:c r="G5" s="2"/>
      <x:c r="H5" s="2"/>
    </x:row>
    <x:row r="6">
      <x:c r="A6" s="5" t="str">
        <x:v>元資料：独立か、転職か。 企画書 v2.2.md（§6・8・9・13）。設計日：2026-10-12</x:v>
      </x:c>
      <x:c r="B6" s="5"/>
      <x:c r="C6" s="5"/>
      <x:c r="D6" s="5"/>
      <x:c r="E6" s="5"/>
      <x:c r="F6" s="5"/>
      <x:c r="G6" s="5"/>
      <x:c r="H6" s="5"/>
    </x:row>
    <x:row r="7" ht="32" customHeight="1">
      <x:c r="A7" s="10" t="str">
        <x:v>タグID</x:v>
      </x:c>
      <x:c r="B7" s="11" t="str">
        <x:v>表示名</x:v>
      </x:c>
      <x:c r="C7" s="11" t="str">
        <x:v>グループ</x:v>
      </x:c>
      <x:c r="D7" s="11" t="str">
        <x:v>付ける条件</x:v>
      </x:c>
      <x:c r="E7" s="11" t="str">
        <x:v>別名（重複登録しない）</x:v>
      </x:c>
      <x:c r="F7" s="11" t="str">
        <x:v>割当記事数</x:v>
      </x:c>
      <x:c r="G7" s="11" t="str">
        <x:v>設計時の割当記事ID</x:v>
      </x:c>
      <x:c r="H7" s="12" t="str">
        <x:v>読み</x:v>
      </x:c>
    </x:row>
    <x:row r="8" ht="36" customHeight="1">
      <x:c r="A8" s="14" t="str">
        <x:v>early-retirement</x:v>
      </x:c>
      <x:c r="B8" s="14" t="str">
        <x:v>早期退職</x:v>
      </x:c>
      <x:c r="C8" s="14" t="str">
        <x:v>きっかけ</x:v>
      </x:c>
      <x:c r="D8" s="14" t="str">
        <x:v>募集・退職日・割増退職金など早期退職固有の論点が中心</x:v>
      </x:c>
      <x:c r="E8" s="14" t="str">
        <x:v>希望退職</x:v>
      </x:c>
      <x:c r="F8" s="20" t="n">
        <x:f>SUM(COUNTIFS('記事管理'!$N$8:$N$37,B8),COUNTIFS('記事管理'!$O$8:$O$37,B8),COUNTIFS('記事管理'!$P$8:$P$37,B8),COUNTIFS('記事管理'!$Q$8:$Q$37,B8))</x:f>
        <x:v>14</x:v>
      </x:c>
      <x:c r="G8" s="14" t="str">
        <x:v>TD-01 / TD-05 / TD-06 / TD-14 / TD-18 / TD-20 / TD-21 / TD-22 / TD-23 / TD-26 / TD-27 / TD-28 / TD-29 / TD-30</x:v>
      </x:c>
      <x:c r="H8" s="14" t="str">
        <x:v>そうきたいしょく</x:v>
      </x:c>
    </x:row>
    <x:row r="9" ht="36" customHeight="1">
      <x:c r="A9" s="13" t="str">
        <x:v>role-retirement</x:v>
      </x:c>
      <x:c r="B9" s="13" t="str">
        <x:v>役職定年</x:v>
      </x:c>
      <x:c r="C9" s="13" t="str">
        <x:v>きっかけ</x:v>
      </x:c>
      <x:c r="D9" s="13" t="str">
        <x:v>役職定年前の中長期準備や経験の持ち出しが中心</x:v>
      </x:c>
      <x:c r="E9" s="13" t="str">
        <x:v>役職定年後</x:v>
      </x:c>
      <x:c r="F9" s="21" t="n">
        <x:f>SUM(COUNTIFS('記事管理'!$N$8:$N$37,B9),COUNTIFS('記事管理'!$O$8:$O$37,B9),COUNTIFS('記事管理'!$P$8:$P$37,B9),COUNTIFS('記事管理'!$Q$8:$Q$37,B9))</x:f>
        <x:v>4</x:v>
      </x:c>
      <x:c r="G9" s="13" t="str">
        <x:v>TD-01 / TD-04 / TD-06 / TD-14</x:v>
      </x:c>
      <x:c r="H9" s="13" t="str">
        <x:v>やくしょくていねん</x:v>
      </x:c>
    </x:row>
    <x:row r="10" ht="36" customHeight="1">
      <x:c r="A10" s="14" t="str">
        <x:v>advisory</x:v>
      </x:c>
      <x:c r="B10" s="14" t="str">
        <x:v>顧問</x:v>
      </x:c>
      <x:c r="C10" s="14" t="str">
        <x:v>独立の形</x:v>
      </x:c>
      <x:c r="D10" s="14" t="str">
        <x:v>継続的な助言・支援の仕事、顧問登録サービス</x:v>
      </x:c>
      <x:c r="E10" s="14" t="str">
        <x:v>顧問契約</x:v>
      </x:c>
      <x:c r="F10" s="20" t="n">
        <x:f>SUM(COUNTIFS('記事管理'!$N$8:$N$37,B10),COUNTIFS('記事管理'!$O$8:$O$37,B10),COUNTIFS('記事管理'!$P$8:$P$37,B10),COUNTIFS('記事管理'!$Q$8:$Q$37,B10))</x:f>
        <x:v>5</x:v>
      </x:c>
      <x:c r="G10" s="14" t="str">
        <x:v>TD-02 / TD-03 / TD-07 / TD-08 / TD-17</x:v>
      </x:c>
      <x:c r="H10" s="14" t="str">
        <x:v>こもん</x:v>
      </x:c>
    </x:row>
    <x:row r="11" ht="36" customHeight="1">
      <x:c r="A11" s="13" t="str">
        <x:v>outsourcing</x:v>
      </x:c>
      <x:c r="B11" s="13" t="str">
        <x:v>業務委託</x:v>
      </x:c>
      <x:c r="C11" s="13" t="str">
        <x:v>独立の形</x:v>
      </x:c>
      <x:c r="D11" s="13" t="str">
        <x:v>元勤務先との取引、委託契約、雇用との違い</x:v>
      </x:c>
      <x:c r="E11" s="13" t="str">
        <x:v>業務委託契約</x:v>
      </x:c>
      <x:c r="F11" s="21" t="n">
        <x:f>SUM(COUNTIFS('記事管理'!$N$8:$N$37,B11),COUNTIFS('記事管理'!$O$8:$O$37,B11),COUNTIFS('記事管理'!$P$8:$P$37,B11),COUNTIFS('記事管理'!$Q$8:$Q$37,B11))</x:f>
        <x:v>3</x:v>
      </x:c>
      <x:c r="G11" s="13" t="str">
        <x:v>TD-03 / TD-04 / TD-07</x:v>
      </x:c>
      <x:c r="H11" s="13" t="str">
        <x:v>ぎょうむいたく</x:v>
      </x:c>
    </x:row>
    <x:row r="12" ht="36" customHeight="1">
      <x:c r="A12" s="14" t="str">
        <x:v>spot-consulting</x:v>
      </x:c>
      <x:c r="B12" s="14" t="str">
        <x:v>スポットコンサル</x:v>
      </x:c>
      <x:c r="C12" s="14" t="str">
        <x:v>独立の形</x:v>
      </x:c>
      <x:c r="D12" s="14" t="str">
        <x:v>時間単位・単発で経験や知見を提供する仕事</x:v>
      </x:c>
      <x:c r="E12" s="14" t="str">
        <x:v>スポット相談</x:v>
      </x:c>
      <x:c r="F12" s="20" t="n">
        <x:f>SUM(COUNTIFS('記事管理'!$N$8:$N$37,B12),COUNTIFS('記事管理'!$O$8:$O$37,B12),COUNTIFS('記事管理'!$P$8:$P$37,B12),COUNTIFS('記事管理'!$Q$8:$Q$37,B12))</x:f>
        <x:v>1</x:v>
      </x:c>
      <x:c r="G12" s="14" t="str">
        <x:v>TD-09</x:v>
      </x:c>
      <x:c r="H12" s="14" t="str">
        <x:v>すぽっとこんさる</x:v>
      </x:c>
    </x:row>
    <x:row r="13" ht="36" customHeight="1">
      <x:c r="A13" s="13" t="str">
        <x:v>freelance-consulting</x:v>
      </x:c>
      <x:c r="B13" s="13" t="str">
        <x:v>フリーコンサル</x:v>
      </x:c>
      <x:c r="C13" s="13" t="str">
        <x:v>独立の形</x:v>
      </x:c>
      <x:c r="D13" s="13" t="str">
        <x:v>プロジェクト単位のコンサル案件・登録先・稼働条件</x:v>
      </x:c>
      <x:c r="E13" s="13" t="str">
        <x:v>フリーランスコンサル</x:v>
      </x:c>
      <x:c r="F13" s="21" t="n">
        <x:f>SUM(COUNTIFS('記事管理'!$N$8:$N$37,B13),COUNTIFS('記事管理'!$O$8:$O$37,B13),COUNTIFS('記事管理'!$P$8:$P$37,B13),COUNTIFS('記事管理'!$Q$8:$Q$37,B13))</x:f>
        <x:v>1</x:v>
      </x:c>
      <x:c r="G13" s="13" t="str">
        <x:v>TD-10</x:v>
      </x:c>
      <x:c r="H13" s="13" t="str">
        <x:v>ふりーこんさる</x:v>
      </x:c>
    </x:row>
    <x:row r="14" ht="36" customHeight="1">
      <x:c r="A14" s="14" t="str">
        <x:v>side-work</x:v>
      </x:c>
      <x:c r="B14" s="14" t="str">
        <x:v>副業</x:v>
      </x:c>
      <x:c r="C14" s="14" t="str">
        <x:v>独立の形</x:v>
      </x:c>
      <x:c r="D14" s="14" t="str">
        <x:v>在職中や転職後に小さく仕事を試す論点</x:v>
      </x:c>
      <x:c r="E14" s="14" t="str">
        <x:v>複業</x:v>
      </x:c>
      <x:c r="F14" s="20" t="n">
        <x:f>SUM(COUNTIFS('記事管理'!$N$8:$N$37,B14),COUNTIFS('記事管理'!$O$8:$O$37,B14),COUNTIFS('記事管理'!$P$8:$P$37,B14),COUNTIFS('記事管理'!$Q$8:$Q$37,B14))</x:f>
        <x:v>2</x:v>
      </x:c>
      <x:c r="G14" s="14" t="str">
        <x:v>TD-04 / TD-09</x:v>
      </x:c>
      <x:c r="H14" s="14" t="str">
        <x:v>ふくぎょう</x:v>
      </x:c>
    </x:row>
    <x:row r="15" ht="36" customHeight="1">
      <x:c r="A15" s="13" t="str">
        <x:v>franchise</x:v>
      </x:c>
      <x:c r="B15" s="13" t="str">
        <x:v>フランチャイズ</x:v>
      </x:c>
      <x:c r="C15" s="13" t="str">
        <x:v>独立の形</x:v>
      </x:c>
      <x:c r="D15" s="13" t="str">
        <x:v>加盟条件・資金・契約・撤退条件の確認</x:v>
      </x:c>
      <x:c r="E15" s="13" t="str">
        <x:v>FC</x:v>
      </x:c>
      <x:c r="F15" s="21" t="n">
        <x:f>SUM(COUNTIFS('記事管理'!$N$8:$N$37,B15),COUNTIFS('記事管理'!$O$8:$O$37,B15),COUNTIFS('記事管理'!$P$8:$P$37,B15),COUNTIFS('記事管理'!$Q$8:$Q$37,B15))</x:f>
        <x:v>3</x:v>
      </x:c>
      <x:c r="G15" s="13" t="str">
        <x:v>TD-03 / TD-11 / TD-19</x:v>
      </x:c>
      <x:c r="H15" s="13" t="str">
        <x:v>ふらんちゃいず</x:v>
      </x:c>
    </x:row>
    <x:row r="16" ht="36" customHeight="1">
      <x:c r="A16" s="14" t="str">
        <x:v>small-ma</x:v>
      </x:c>
      <x:c r="B16" s="14" t="str">
        <x:v>スモールM&amp;A</x:v>
      </x:c>
      <x:c r="C16" s="14" t="str">
        <x:v>独立の形</x:v>
      </x:c>
      <x:c r="D16" s="14" t="str">
        <x:v>小規模な事業・会社の購入、仲介条件、買収前調査</x:v>
      </x:c>
      <x:c r="E16" s="14" t="str">
        <x:v>小規模M&amp;A</x:v>
      </x:c>
      <x:c r="F16" s="20" t="n">
        <x:f>SUM(COUNTIFS('記事管理'!$N$8:$N$37,B16),COUNTIFS('記事管理'!$O$8:$O$37,B16),COUNTIFS('記事管理'!$P$8:$P$37,B16),COUNTIFS('記事管理'!$Q$8:$Q$37,B16))</x:f>
        <x:v>3</x:v>
      </x:c>
      <x:c r="G16" s="14" t="str">
        <x:v>TD-03 / TD-12 / TD-19</x:v>
      </x:c>
      <x:c r="H16" s="14" t="str">
        <x:v>すもーるえむあんどえー</x:v>
      </x:c>
    </x:row>
    <x:row r="17" ht="36" customHeight="1">
      <x:c r="A17" s="13" t="str">
        <x:v>sole-proprietor</x:v>
      </x:c>
      <x:c r="B17" s="13" t="str">
        <x:v>個人事業主</x:v>
      </x:c>
      <x:c r="C17" s="13" t="str">
        <x:v>独立の形</x:v>
      </x:c>
      <x:c r="D17" s="13" t="str">
        <x:v>個人での開業、届出、会計の実務</x:v>
      </x:c>
      <x:c r="E17" s="13" t="str">
        <x:v>個人事業、開業</x:v>
      </x:c>
      <x:c r="F17" s="21" t="n">
        <x:f>SUM(COUNTIFS('記事管理'!$N$8:$N$37,B17),COUNTIFS('記事管理'!$O$8:$O$37,B17),COUNTIFS('記事管理'!$P$8:$P$37,B17),COUNTIFS('記事管理'!$Q$8:$Q$37,B17))</x:f>
        <x:v>5</x:v>
      </x:c>
      <x:c r="G17" s="13" t="str">
        <x:v>TD-06 / TD-12 / TD-13 / TD-22 / TD-24</x:v>
      </x:c>
      <x:c r="H17" s="13" t="str">
        <x:v>こじんじぎょうぬし</x:v>
      </x:c>
    </x:row>
    <x:row r="18" ht="36" customHeight="1">
      <x:c r="A18" s="14" t="str">
        <x:v>market-value</x:v>
      </x:c>
      <x:c r="B18" s="14" t="str">
        <x:v>市場価値</x:v>
      </x:c>
      <x:c r="C18" s="14" t="str">
        <x:v>転職・経験</x:v>
      </x:c>
      <x:c r="D18" s="14" t="str">
        <x:v>求人・スカウト・顧問案件から経験の需要を確かめる</x:v>
      </x:c>
      <x:c r="E18" s="14" t="str">
        <x:v>市場の反応</x:v>
      </x:c>
      <x:c r="F18" s="20" t="n">
        <x:f>SUM(COUNTIFS('記事管理'!$N$8:$N$37,B18),COUNTIFS('記事管理'!$O$8:$O$37,B18),COUNTIFS('記事管理'!$P$8:$P$37,B18),COUNTIFS('記事管理'!$Q$8:$Q$37,B18))</x:f>
        <x:v>7</x:v>
      </x:c>
      <x:c r="G18" s="14" t="str">
        <x:v>TD-02 / TD-08 / TD-09 / TD-10 / TD-15 / TD-16 / TD-17</x:v>
      </x:c>
      <x:c r="H18" s="14" t="str">
        <x:v>しじょうかち</x:v>
      </x:c>
    </x:row>
    <x:row r="19" ht="36" customHeight="1">
      <x:c r="A19" s="13" t="str">
        <x:v>career-service</x:v>
      </x:c>
      <x:c r="B19" s="13" t="str">
        <x:v>転職サービス</x:v>
      </x:c>
      <x:c r="C19" s="13" t="str">
        <x:v>転職・経験</x:v>
      </x:c>
      <x:c r="D19" s="13" t="str">
        <x:v>エージェント・スカウトの比較と使い分け</x:v>
      </x:c>
      <x:c r="E19" s="13" t="str">
        <x:v>転職エージェント、スカウト</x:v>
      </x:c>
      <x:c r="F19" s="21" t="n">
        <x:f>SUM(COUNTIFS('記事管理'!$N$8:$N$37,B19),COUNTIFS('記事管理'!$O$8:$O$37,B19),COUNTIFS('記事管理'!$P$8:$P$37,B19),COUNTIFS('記事管理'!$Q$8:$Q$37,B19))</x:f>
        <x:v>4</x:v>
      </x:c>
      <x:c r="G19" s="13" t="str">
        <x:v>TD-02 / TD-14 / TD-15 / TD-16</x:v>
      </x:c>
      <x:c r="H19" s="13" t="str">
        <x:v>てんしょくさーびす</x:v>
      </x:c>
    </x:row>
    <x:row r="20" ht="36" customHeight="1">
      <x:c r="A20" s="14" t="str">
        <x:v>resume</x:v>
      </x:c>
      <x:c r="B20" s="14" t="str">
        <x:v>職務経歴書</x:v>
      </x:c>
      <x:c r="C20" s="14" t="str">
        <x:v>転職・経験</x:v>
      </x:c>
      <x:c r="D20" s="14" t="str">
        <x:v>職務経歴・管理職実績を具体的に言語化する</x:v>
      </x:c>
      <x:c r="E20" s="14" t="str">
        <x:v>職歴、職務経歴</x:v>
      </x:c>
      <x:c r="F20" s="20" t="n">
        <x:f>SUM(COUNTIFS('記事管理'!$N$8:$N$37,B20),COUNTIFS('記事管理'!$O$8:$O$37,B20),COUNTIFS('記事管理'!$P$8:$P$37,B20),COUNTIFS('記事管理'!$Q$8:$Q$37,B20))</x:f>
        <x:v>2</x:v>
      </x:c>
      <x:c r="G20" s="14" t="str">
        <x:v>TD-16 / TD-17</x:v>
      </x:c>
      <x:c r="H20" s="14" t="str">
        <x:v>しょくむけいれきしょ</x:v>
      </x:c>
    </x:row>
    <x:row r="21" ht="36" customHeight="1">
      <x:c r="A21" s="13" t="str">
        <x:v>income</x:v>
      </x:c>
      <x:c r="B21" s="13" t="str">
        <x:v>収入・年収</x:v>
      </x:c>
      <x:c r="C21" s="13" t="str">
        <x:v>お金</x:v>
      </x:c>
      <x:c r="D21" s="13" t="str">
        <x:v>報酬・年収条件・収入の変動を比較する</x:v>
      </x:c>
      <x:c r="E21" s="13" t="str">
        <x:v>年収、報酬</x:v>
      </x:c>
      <x:c r="F21" s="21" t="n">
        <x:f>SUM(COUNTIFS('記事管理'!$N$8:$N$37,B21),COUNTIFS('記事管理'!$O$8:$O$37,B21),COUNTIFS('記事管理'!$P$8:$P$37,B21),COUNTIFS('記事管理'!$Q$8:$Q$37,B21))</x:f>
        <x:v>10</x:v>
      </x:c>
      <x:c r="G21" s="13" t="str">
        <x:v>TD-01 / TD-05 / TD-07 / TD-08 / TD-10 / TD-11 / TD-15 / TD-18 / TD-25 / TD-27</x:v>
      </x:c>
      <x:c r="H21" s="13" t="str">
        <x:v>しゅうにゅうねんしゅう</x:v>
      </x:c>
    </x:row>
    <x:row r="22" ht="36" customHeight="1">
      <x:c r="A22" s="14" t="str">
        <x:v>retirement-money</x:v>
      </x:c>
      <x:c r="B22" s="14" t="str">
        <x:v>退職金</x:v>
      </x:c>
      <x:c r="C22" s="14" t="str">
        <x:v>お金</x:v>
      </x:c>
      <x:c r="D22" s="14" t="str">
        <x:v>退職金の保全・税務書類・生活の見通し・勧誘対策</x:v>
      </x:c>
      <x:c r="E22" s="14" t="str">
        <x:v>割増退職金</x:v>
      </x:c>
      <x:c r="F22" s="20" t="n">
        <x:f>SUM(COUNTIFS('記事管理'!$N$8:$N$37,B22),COUNTIFS('記事管理'!$O$8:$O$37,B22),COUNTIFS('記事管理'!$P$8:$P$37,B22),COUNTIFS('記事管理'!$Q$8:$Q$37,B22))</x:f>
        <x:v>8</x:v>
      </x:c>
      <x:c r="G22" s="14" t="str">
        <x:v>TD-05 / TD-11 / TD-12 / TD-18 / TD-19 / TD-23 / TD-25 / TD-29</x:v>
      </x:c>
      <x:c r="H22" s="14" t="str">
        <x:v>たいしょくきん</x:v>
      </x:c>
    </x:row>
    <x:row r="23" ht="36" customHeight="1">
      <x:c r="A23" s="13" t="str">
        <x:v>housing-loan</x:v>
      </x:c>
      <x:c r="B23" s="13" t="str">
        <x:v>住宅ローン</x:v>
      </x:c>
      <x:c r="C23" s="13" t="str">
        <x:v>お金</x:v>
      </x:c>
      <x:c r="D23" s="13" t="str">
        <x:v>返済・借り換え・金融機関への確認</x:v>
      </x:c>
      <x:c r="E23" s="13" t="str">
        <x:v>ローン借り換え</x:v>
      </x:c>
      <x:c r="F23" s="21" t="n">
        <x:f>SUM(COUNTIFS('記事管理'!$N$8:$N$37,B23),COUNTIFS('記事管理'!$O$8:$O$37,B23),COUNTIFS('記事管理'!$P$8:$P$37,B23),COUNTIFS('記事管理'!$Q$8:$Q$37,B23))</x:f>
        <x:v>3</x:v>
      </x:c>
      <x:c r="G23" s="13" t="str">
        <x:v>TD-20 / TD-23 / TD-25</x:v>
      </x:c>
      <x:c r="H23" s="13" t="str">
        <x:v>じゅうたくろーん</x:v>
      </x:c>
    </x:row>
    <x:row r="24" ht="36" customHeight="1">
      <x:c r="A24" s="14" t="str">
        <x:v>credit-card</x:v>
      </x:c>
      <x:c r="B24" s="14" t="str">
        <x:v>クレジットカード</x:v>
      </x:c>
      <x:c r="C24" s="14" t="str">
        <x:v>お金</x:v>
      </x:c>
      <x:c r="D24" s="14" t="str">
        <x:v>申込条件・審査・仕事用と生活用の使い分け</x:v>
      </x:c>
      <x:c r="E24" s="14" t="str">
        <x:v>カード</x:v>
      </x:c>
      <x:c r="F24" s="20" t="n">
        <x:f>SUM(COUNTIFS('記事管理'!$N$8:$N$37,B24),COUNTIFS('記事管理'!$O$8:$O$37,B24),COUNTIFS('記事管理'!$P$8:$P$37,B24),COUNTIFS('記事管理'!$Q$8:$Q$37,B24))</x:f>
        <x:v>2</x:v>
      </x:c>
      <x:c r="G24" s="14" t="str">
        <x:v>TD-20 / TD-24</x:v>
      </x:c>
      <x:c r="H24" s="14" t="str">
        <x:v>くれじっとかーど</x:v>
      </x:c>
    </x:row>
    <x:row r="25" ht="36" customHeight="1">
      <x:c r="A25" s="13" t="str">
        <x:v>business-account</x:v>
      </x:c>
      <x:c r="B25" s="13" t="str">
        <x:v>事業用口座</x:v>
      </x:c>
      <x:c r="C25" s="13" t="str">
        <x:v>お金</x:v>
      </x:c>
      <x:c r="D25" s="13" t="str">
        <x:v>仕事の入出金の分離・口座開設条件</x:v>
      </x:c>
      <x:c r="E25" s="13" t="str">
        <x:v>事業口座</x:v>
      </x:c>
      <x:c r="F25" s="21" t="n">
        <x:f>SUM(COUNTIFS('記事管理'!$N$8:$N$37,B25),COUNTIFS('記事管理'!$O$8:$O$37,B25),COUNTIFS('記事管理'!$P$8:$P$37,B25),COUNTIFS('記事管理'!$Q$8:$Q$37,B25))</x:f>
        <x:v>3</x:v>
      </x:c>
      <x:c r="G25" s="13" t="str">
        <x:v>TD-13 / TD-20 / TD-24</x:v>
      </x:c>
      <x:c r="H25" s="13" t="str">
        <x:v>じぎょうようこうざ</x:v>
      </x:c>
    </x:row>
    <x:row r="26" ht="36" customHeight="1">
      <x:c r="A26" s="14" t="str">
        <x:v>unemployment-benefit</x:v>
      </x:c>
      <x:c r="B26" s="14" t="str">
        <x:v>失業給付</x:v>
      </x:c>
      <x:c r="C26" s="14" t="str">
        <x:v>制度・手続き</x:v>
      </x:c>
      <x:c r="D26" s="14" t="str">
        <x:v>基本手当・離職理由・再就職手当・起業時の受給期間特例</x:v>
      </x:c>
      <x:c r="E26" s="14" t="str">
        <x:v>失業保険、雇用保険、再就職手当</x:v>
      </x:c>
      <x:c r="F26" s="20" t="n">
        <x:f>SUM(COUNTIFS('記事管理'!$N$8:$N$37,B26),COUNTIFS('記事管理'!$O$8:$O$37,B26),COUNTIFS('記事管理'!$P$8:$P$37,B26),COUNTIFS('記事管理'!$Q$8:$Q$37,B26))</x:f>
        <x:v>3</x:v>
      </x:c>
      <x:c r="G26" s="14" t="str">
        <x:v>TD-19 / TD-21 / TD-22</x:v>
      </x:c>
      <x:c r="H26" s="14" t="str">
        <x:v>しつぎょうきゅうふ</x:v>
      </x:c>
    </x:row>
    <x:row r="27" ht="36" customHeight="1">
      <x:c r="A27" s="13" t="str">
        <x:v>health-insurance</x:v>
      </x:c>
      <x:c r="B27" s="13" t="str">
        <x:v>健康保険</x:v>
      </x:c>
      <x:c r="C27" s="13" t="str">
        <x:v>制度・手続き</x:v>
      </x:c>
      <x:c r="D27" s="13" t="str">
        <x:v>任意継続・国民健康保険・家族の扶養・入社前の空白期間</x:v>
      </x:c>
      <x:c r="E27" s="13" t="str">
        <x:v>国保、任意継続</x:v>
      </x:c>
      <x:c r="F27" s="21" t="n">
        <x:f>SUM(COUNTIFS('記事管理'!$N$8:$N$37,B27),COUNTIFS('記事管理'!$O$8:$O$37,B27),COUNTIFS('記事管理'!$P$8:$P$37,B27),COUNTIFS('記事管理'!$Q$8:$Q$37,B27))</x:f>
        <x:v>3</x:v>
      </x:c>
      <x:c r="G27" s="13" t="str">
        <x:v>TD-26 / TD-27 / TD-28</x:v>
      </x:c>
      <x:c r="H27" s="13" t="str">
        <x:v>けんこうほけん</x:v>
      </x:c>
    </x:row>
    <x:row r="28" ht="36" customHeight="1">
      <x:c r="A28" s="14" t="str">
        <x:v>pension</x:v>
      </x:c>
      <x:c r="B28" s="14" t="str">
        <x:v>年金</x:v>
      </x:c>
      <x:c r="C28" s="14" t="str">
        <x:v>制度・手続き</x:v>
      </x:c>
      <x:c r="D28" s="14" t="str">
        <x:v>国民年金への切替・配偶者・公的年金</x:v>
      </x:c>
      <x:c r="E28" s="14" t="str">
        <x:v>国民年金</x:v>
      </x:c>
      <x:c r="F28" s="20" t="n">
        <x:f>SUM(COUNTIFS('記事管理'!$N$8:$N$37,B28),COUNTIFS('記事管理'!$O$8:$O$37,B28),COUNTIFS('記事管理'!$P$8:$P$37,B28),COUNTIFS('記事管理'!$Q$8:$Q$37,B28))</x:f>
        <x:v>3</x:v>
      </x:c>
      <x:c r="G28" s="14" t="str">
        <x:v>TD-26 / TD-28 / TD-30</x:v>
      </x:c>
      <x:c r="H28" s="14" t="str">
        <x:v>ねんきん</x:v>
      </x:c>
    </x:row>
    <x:row r="29" ht="36" customHeight="1">
      <x:c r="A29" s="13" t="str">
        <x:v>corporate-dc</x:v>
      </x:c>
      <x:c r="B29" s="13" t="str">
        <x:v>企業型DC・iDeCo</x:v>
      </x:c>
      <x:c r="C29" s="13" t="str">
        <x:v>制度・手続き</x:v>
      </x:c>
      <x:c r="D29" s="13" t="str">
        <x:v>企業型DC資産の移換・iDeCo口座の条件確認</x:v>
      </x:c>
      <x:c r="E29" s="13" t="str">
        <x:v>企業型確定拠出年金、DC、iDeCo</x:v>
      </x:c>
      <x:c r="F29" s="21" t="n">
        <x:f>SUM(COUNTIFS('記事管理'!$N$8:$N$37,B29),COUNTIFS('記事管理'!$O$8:$O$37,B29),COUNTIFS('記事管理'!$P$8:$P$37,B29),COUNTIFS('記事管理'!$Q$8:$Q$37,B29))</x:f>
        <x:v>2</x:v>
      </x:c>
      <x:c r="G29" s="13" t="str">
        <x:v>TD-26 / TD-30</x:v>
      </x:c>
      <x:c r="H29" s="13" t="str">
        <x:v>きぎょうがたでぃーしーいでこ</x:v>
      </x:c>
    </x:row>
    <x:row r="30" ht="36" customHeight="1">
      <x:c r="A30" s="14" t="str">
        <x:v>tax</x:v>
      </x:c>
      <x:c r="B30" s="14" t="str">
        <x:v>税金・申告</x:v>
      </x:c>
      <x:c r="C30" s="14" t="str">
        <x:v>制度・手続き</x:v>
      </x:c>
      <x:c r="D30" s="14" t="str">
        <x:v>退職所得・住民税・青色申告などの仕組みと手続き</x:v>
      </x:c>
      <x:c r="E30" s="14" t="str">
        <x:v>住民税、退職所得、青色申告、確定申告</x:v>
      </x:c>
      <x:c r="F30" s="20" t="n">
        <x:f>SUM(COUNTIFS('記事管理'!$N$8:$N$37,B30),COUNTIFS('記事管理'!$O$8:$O$37,B30),COUNTIFS('記事管理'!$P$8:$P$37,B30),COUNTIFS('記事管理'!$Q$8:$Q$37,B30))</x:f>
        <x:v>3</x:v>
      </x:c>
      <x:c r="G30" s="14" t="str">
        <x:v>TD-13 / TD-25 / TD-29</x:v>
      </x:c>
      <x:c r="H30" s="14" t="str">
        <x:v>ぜいきんしんこく</x:v>
      </x:c>
    </x:row>
  </x:sheetData>
  <x:pageMargins left="0.7" right="0.7" top="0.75" bottom="0.75" header="0.3" footer="0.3"/>
  <x:tableParts count="1">
    <x:tablePart xmlns:r="http://schemas.openxmlformats.org/officeDocument/2006/relationships" r:id="Rfa7a40843c79451f"/>
  </x:tableParts>
</x:worksheet>
</file>